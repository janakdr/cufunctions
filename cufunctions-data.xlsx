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a\sekhar\biostats\"/>
    </mc:Choice>
  </mc:AlternateContent>
  <bookViews>
    <workbookView xWindow="285" yWindow="255" windowWidth="10500" windowHeight="9075"/>
  </bookViews>
  <sheets>
    <sheet name="NEJM" sheetId="23" r:id="rId1"/>
    <sheet name="Met" sheetId="25" r:id="rId2"/>
    <sheet name="Delta" sheetId="28" r:id="rId3"/>
    <sheet name="HepC survival data" sheetId="6" r:id="rId4"/>
    <sheet name="Cox modeling" sheetId="9" r:id="rId5"/>
  </sheets>
  <definedNames>
    <definedName name="deltadat" localSheetId="2">Delta!$C$1:$H$104</definedName>
    <definedName name="PHregDat" localSheetId="4">'Cox modeling'!$B$1:$E$195</definedName>
  </definedNames>
  <calcPr calcId="162913"/>
</workbook>
</file>

<file path=xl/calcChain.xml><?xml version="1.0" encoding="utf-8"?>
<calcChain xmlns="http://schemas.openxmlformats.org/spreadsheetml/2006/main">
  <c r="F23" i="25" l="1"/>
  <c r="K38" i="23" l="1"/>
  <c r="J38" i="23"/>
  <c r="I38" i="23"/>
  <c r="K37" i="23"/>
  <c r="J37" i="23"/>
  <c r="I37" i="23"/>
  <c r="K36" i="23"/>
  <c r="J36" i="23"/>
  <c r="I36" i="23"/>
  <c r="K35" i="23"/>
  <c r="J35" i="23"/>
  <c r="I35" i="23"/>
  <c r="K34" i="23"/>
  <c r="J34" i="23"/>
  <c r="I34" i="23"/>
  <c r="K33" i="23"/>
  <c r="J33" i="23"/>
  <c r="I33" i="23"/>
  <c r="K32" i="23"/>
  <c r="J32" i="23"/>
  <c r="I32" i="23"/>
  <c r="K31" i="23"/>
  <c r="J31" i="23"/>
  <c r="I31" i="23"/>
  <c r="K30" i="23"/>
  <c r="J30" i="23"/>
  <c r="I30" i="23"/>
  <c r="K29" i="23"/>
  <c r="J29" i="23"/>
  <c r="I29" i="23"/>
  <c r="K28" i="23"/>
  <c r="J28" i="23"/>
  <c r="I28" i="23"/>
  <c r="K27" i="23"/>
  <c r="J27" i="23"/>
  <c r="I27" i="23"/>
  <c r="K26" i="23"/>
  <c r="J26" i="23"/>
  <c r="I26" i="23"/>
  <c r="K25" i="23"/>
  <c r="J25" i="23"/>
  <c r="I25" i="23"/>
  <c r="K24" i="23"/>
  <c r="J24" i="23"/>
  <c r="I24" i="23"/>
  <c r="K23" i="23"/>
  <c r="J23" i="23"/>
  <c r="I23" i="23"/>
  <c r="K22" i="23"/>
  <c r="J22" i="23"/>
  <c r="I22" i="23"/>
  <c r="K21" i="23"/>
  <c r="J21" i="23"/>
  <c r="I21" i="23"/>
  <c r="K20" i="23"/>
  <c r="J20" i="23"/>
  <c r="I20" i="23"/>
  <c r="K19" i="23"/>
  <c r="J19" i="23"/>
  <c r="I19" i="23"/>
  <c r="K18" i="23"/>
  <c r="J18" i="23"/>
  <c r="I18" i="23"/>
  <c r="K17" i="23"/>
  <c r="J17" i="23"/>
  <c r="I17" i="23"/>
  <c r="K16" i="23"/>
  <c r="J16" i="23"/>
  <c r="I16" i="23"/>
  <c r="K15" i="23"/>
  <c r="J15" i="23"/>
  <c r="I15" i="23"/>
  <c r="K14" i="23"/>
  <c r="J14" i="23"/>
  <c r="I14" i="23"/>
  <c r="K13" i="23"/>
  <c r="J13" i="23"/>
  <c r="I13" i="23"/>
  <c r="K12" i="23"/>
  <c r="J12" i="23"/>
  <c r="I12" i="23"/>
  <c r="K11" i="23"/>
  <c r="J11" i="23"/>
  <c r="I11" i="23"/>
  <c r="K10" i="23"/>
  <c r="J10" i="23"/>
  <c r="I10" i="23"/>
  <c r="K9" i="23"/>
  <c r="J9" i="23"/>
  <c r="I9" i="23"/>
  <c r="K8" i="23"/>
  <c r="J8" i="23"/>
  <c r="I8" i="23"/>
  <c r="K7" i="23"/>
  <c r="J7" i="23"/>
  <c r="I7" i="23"/>
  <c r="K6" i="23"/>
  <c r="J6" i="23"/>
  <c r="I6" i="23"/>
  <c r="K5" i="23"/>
  <c r="J5" i="23"/>
  <c r="I5" i="23"/>
  <c r="K4" i="23"/>
  <c r="J4" i="23"/>
  <c r="I4" i="23"/>
  <c r="K3" i="23"/>
  <c r="J3" i="23"/>
  <c r="I3" i="23"/>
</calcChain>
</file>

<file path=xl/connections.xml><?xml version="1.0" encoding="utf-8"?>
<connections xmlns="http://schemas.openxmlformats.org/spreadsheetml/2006/main">
  <connection id="1" name="deltadat112" type="6" refreshedVersion="4" background="1" saveData="1">
    <textPr codePage="437" sourceFile="C:\Sekhar\Stats course\2015\midterm\deltadat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PHregDat" type="6" refreshedVersion="4" background="1" saveData="1">
    <textPr codePage="437" sourceFile="C:\Sekhar\Stats course\2014\R testing\PHregDat.csv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<sst xmlns="http://schemas.openxmlformats.org/spreadsheetml/2006/main" count="1408" uniqueCount="77">
  <si>
    <t>Diet</t>
  </si>
  <si>
    <t>MetSyn</t>
  </si>
  <si>
    <t>Yes</t>
  </si>
  <si>
    <t>No</t>
  </si>
  <si>
    <t>time</t>
  </si>
  <si>
    <t>Prednisolone</t>
  </si>
  <si>
    <t>Control</t>
  </si>
  <si>
    <t>Treatment</t>
  </si>
  <si>
    <t>F</t>
  </si>
  <si>
    <t>status</t>
  </si>
  <si>
    <t>TimeToEvent</t>
  </si>
  <si>
    <t>Outcome</t>
  </si>
  <si>
    <t>C.Index</t>
  </si>
  <si>
    <t>BNP</t>
  </si>
  <si>
    <t>LVEF</t>
  </si>
  <si>
    <t>sex</t>
  </si>
  <si>
    <t>age</t>
  </si>
  <si>
    <t>M</t>
  </si>
  <si>
    <t>old</t>
  </si>
  <si>
    <t>young</t>
  </si>
  <si>
    <t>TC</t>
  </si>
  <si>
    <t>TG</t>
  </si>
  <si>
    <t>dead</t>
  </si>
  <si>
    <t>HDL</t>
  </si>
  <si>
    <t>LDL</t>
  </si>
  <si>
    <t>LN_TG</t>
  </si>
  <si>
    <t>BMI</t>
  </si>
  <si>
    <t>GLUC</t>
  </si>
  <si>
    <t>INS</t>
  </si>
  <si>
    <t>Lpa</t>
  </si>
  <si>
    <t>FIBR</t>
  </si>
  <si>
    <t>tcpre</t>
  </si>
  <si>
    <t>tgpre</t>
  </si>
  <si>
    <t>hcpre</t>
  </si>
  <si>
    <t>tcstudy</t>
  </si>
  <si>
    <t>tgstudy</t>
  </si>
  <si>
    <t>hcstudy</t>
  </si>
  <si>
    <t>tcchange</t>
  </si>
  <si>
    <t>tgchange</t>
  </si>
  <si>
    <t>hcchange</t>
  </si>
  <si>
    <t>diffvar</t>
  </si>
  <si>
    <t>AAD</t>
  </si>
  <si>
    <t>Mono</t>
  </si>
  <si>
    <t>Step1</t>
  </si>
  <si>
    <t>Baseline Values</t>
  </si>
  <si>
    <t>Study Values</t>
  </si>
  <si>
    <t>badtcp</t>
  </si>
  <si>
    <t>Baseline to Study Changes</t>
  </si>
  <si>
    <t>TC.AAD</t>
  </si>
  <si>
    <t>HC.AAD</t>
  </si>
  <si>
    <t>TG.AAD</t>
  </si>
  <si>
    <t>TC.Step1</t>
  </si>
  <si>
    <t>HC.Step1</t>
  </si>
  <si>
    <t>TG.Step1</t>
  </si>
  <si>
    <t>TC.LowSat</t>
  </si>
  <si>
    <t>HC.LowSat</t>
  </si>
  <si>
    <t>TG.LowSat</t>
  </si>
  <si>
    <t>yes</t>
  </si>
  <si>
    <t>Treat3</t>
  </si>
  <si>
    <t>Drugtwo</t>
  </si>
  <si>
    <t>WTCAT</t>
  </si>
  <si>
    <t>lean</t>
  </si>
  <si>
    <t>obese</t>
  </si>
  <si>
    <t>dead=yes or status=1 means death</t>
  </si>
  <si>
    <t>dead=0 or status=0 means end of follow-up</t>
  </si>
  <si>
    <t>overwt</t>
  </si>
  <si>
    <t>Sex</t>
  </si>
  <si>
    <t>feel</t>
  </si>
  <si>
    <t>ok</t>
  </si>
  <si>
    <t>good</t>
  </si>
  <si>
    <t>bad</t>
  </si>
  <si>
    <t>like.AAD</t>
  </si>
  <si>
    <t>like.Step1</t>
  </si>
  <si>
    <t>like.LowSat</t>
  </si>
  <si>
    <t>best</t>
  </si>
  <si>
    <t>worst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</si>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</sst>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right"/>
    </xf>
    <xf numFmtId="165" fontId="0" fillId="0" borderId="0" xfId="0" applyNumberFormat="1"/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3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0" fillId="0" borderId="1" xfId="0" applyBorder="1"/>
    <xf numFmtId="0" fontId="2" fillId="0" borderId="2" xfId="0" applyFont="1" applyBorder="1"/>
    <xf numFmtId="164" fontId="2" fillId="0" borderId="2" xfId="0" applyNumberFormat="1" applyFont="1" applyBorder="1"/>
    <xf numFmtId="164" fontId="3" fillId="0" borderId="2" xfId="0" applyNumberFormat="1" applyFont="1" applyBorder="1"/>
    <xf numFmtId="0" fontId="0" fillId="0" borderId="2" xfId="0" applyBorder="1"/>
    <xf numFmtId="164" fontId="2" fillId="0" borderId="3" xfId="0" applyNumberFormat="1" applyFont="1" applyBorder="1"/>
    <xf numFmtId="164" fontId="1" fillId="0" borderId="3" xfId="0" applyNumberFormat="1" applyFont="1" applyBorder="1"/>
    <xf numFmtId="0" fontId="3" fillId="0" borderId="1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deltadat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PHregDat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zoomScaleNormal="100" workbookViewId="0">
      <pane ySplit="2" topLeftCell="A3" activePane="bottomLeft" state="frozen"/>
      <selection pane="bottomLeft" activeCell="P25" sqref="P25"/>
    </sheetView>
  </sheetViews>
  <sheetFormatPr defaultColWidth="8.85546875" defaultRowHeight="15" x14ac:dyDescent="0.25"/>
  <cols>
    <col min="1" max="1" width="3.140625" style="18" customWidth="1"/>
    <col min="2" max="4" width="5.42578125" style="2" customWidth="1"/>
    <col min="5" max="5" width="5.140625" style="24" customWidth="1"/>
    <col min="6" max="8" width="6.5703125" style="2" customWidth="1"/>
    <col min="9" max="9" width="8" style="22" customWidth="1"/>
    <col min="10" max="10" width="8" style="1" customWidth="1"/>
    <col min="11" max="11" width="8" style="18" customWidth="1"/>
    <col min="12" max="12" width="5.85546875" style="1" customWidth="1"/>
    <col min="13" max="13" width="5.42578125" style="1" customWidth="1"/>
    <col min="14" max="16384" width="8.85546875" style="1"/>
  </cols>
  <sheetData>
    <row r="1" spans="1:13" s="5" customFormat="1" x14ac:dyDescent="0.25">
      <c r="A1" s="15"/>
      <c r="B1" s="13" t="s">
        <v>44</v>
      </c>
      <c r="C1" s="13"/>
      <c r="D1" s="13"/>
      <c r="E1" s="23"/>
      <c r="F1" s="13" t="s">
        <v>45</v>
      </c>
      <c r="G1" s="13"/>
      <c r="H1" s="13"/>
      <c r="I1" s="19" t="s">
        <v>47</v>
      </c>
      <c r="J1" s="12"/>
      <c r="K1" s="15"/>
      <c r="L1" s="12"/>
      <c r="M1" s="12"/>
    </row>
    <row r="2" spans="1:13" s="12" customFormat="1" ht="12.75" x14ac:dyDescent="0.2">
      <c r="A2" s="15" t="s">
        <v>15</v>
      </c>
      <c r="B2" s="13" t="s">
        <v>31</v>
      </c>
      <c r="C2" s="13" t="s">
        <v>32</v>
      </c>
      <c r="D2" s="13" t="s">
        <v>33</v>
      </c>
      <c r="E2" s="23" t="s">
        <v>0</v>
      </c>
      <c r="F2" s="13" t="s">
        <v>34</v>
      </c>
      <c r="G2" s="13" t="s">
        <v>35</v>
      </c>
      <c r="H2" s="13" t="s">
        <v>36</v>
      </c>
      <c r="I2" s="20" t="s">
        <v>37</v>
      </c>
      <c r="J2" s="13" t="s">
        <v>38</v>
      </c>
      <c r="K2" s="16" t="s">
        <v>39</v>
      </c>
      <c r="L2" s="13" t="s">
        <v>46</v>
      </c>
      <c r="M2" s="13" t="s">
        <v>40</v>
      </c>
    </row>
    <row r="3" spans="1:13" x14ac:dyDescent="0.25">
      <c r="A3" s="25" t="s">
        <v>8</v>
      </c>
      <c r="B3" s="14">
        <v>208.3</v>
      </c>
      <c r="C3" s="14">
        <v>135.30000000000001</v>
      </c>
      <c r="D3" s="14">
        <v>48.7</v>
      </c>
      <c r="E3" s="23" t="s">
        <v>41</v>
      </c>
      <c r="F3" s="14">
        <v>212.3</v>
      </c>
      <c r="G3" s="14">
        <v>106</v>
      </c>
      <c r="H3" s="14">
        <v>47.3</v>
      </c>
      <c r="I3" s="21">
        <f>F3-B3</f>
        <v>4</v>
      </c>
      <c r="J3" s="14">
        <f t="shared" ref="J3:K18" si="0">G3-C3</f>
        <v>-29.300000000000011</v>
      </c>
      <c r="K3" s="17">
        <f t="shared" si="0"/>
        <v>-1.4000000000000057</v>
      </c>
      <c r="L3" s="14">
        <v>20.83</v>
      </c>
      <c r="M3" s="14">
        <v>208.3</v>
      </c>
    </row>
    <row r="4" spans="1:13" x14ac:dyDescent="0.25">
      <c r="A4" s="25" t="s">
        <v>8</v>
      </c>
      <c r="B4" s="14">
        <v>201.3</v>
      </c>
      <c r="C4" s="14">
        <v>68.3</v>
      </c>
      <c r="D4" s="14">
        <v>52</v>
      </c>
      <c r="E4" s="23" t="s">
        <v>41</v>
      </c>
      <c r="F4" s="14">
        <v>220.3</v>
      </c>
      <c r="G4" s="14">
        <v>56.3</v>
      </c>
      <c r="H4" s="14">
        <v>54.7</v>
      </c>
      <c r="I4" s="21">
        <f t="shared" ref="I4:K38" si="1">F4-B4</f>
        <v>19</v>
      </c>
      <c r="J4" s="14">
        <f t="shared" si="0"/>
        <v>-12</v>
      </c>
      <c r="K4" s="17">
        <f t="shared" si="0"/>
        <v>2.7000000000000028</v>
      </c>
      <c r="L4" s="14">
        <v>201.3</v>
      </c>
      <c r="M4" s="14">
        <v>201.3</v>
      </c>
    </row>
    <row r="5" spans="1:13" x14ac:dyDescent="0.25">
      <c r="A5" s="25" t="s">
        <v>8</v>
      </c>
      <c r="B5" s="14">
        <v>163.69999999999999</v>
      </c>
      <c r="C5" s="14">
        <v>60</v>
      </c>
      <c r="D5" s="14">
        <v>47</v>
      </c>
      <c r="E5" s="23" t="s">
        <v>41</v>
      </c>
      <c r="F5" s="14">
        <v>168.3</v>
      </c>
      <c r="G5" s="14">
        <v>54.3</v>
      </c>
      <c r="H5" s="14">
        <v>51</v>
      </c>
      <c r="I5" s="21">
        <f t="shared" si="1"/>
        <v>4.6000000000000227</v>
      </c>
      <c r="J5" s="14">
        <f t="shared" si="0"/>
        <v>-5.7000000000000028</v>
      </c>
      <c r="K5" s="17">
        <f t="shared" si="0"/>
        <v>4</v>
      </c>
      <c r="L5" s="14">
        <v>163.69999999999999</v>
      </c>
      <c r="M5" s="14">
        <v>163.69999999999999</v>
      </c>
    </row>
    <row r="6" spans="1:13" x14ac:dyDescent="0.25">
      <c r="A6" s="25" t="s">
        <v>17</v>
      </c>
      <c r="B6" s="14">
        <v>199</v>
      </c>
      <c r="C6" s="14">
        <v>114</v>
      </c>
      <c r="D6" s="14">
        <v>40.299999999999997</v>
      </c>
      <c r="E6" s="23" t="s">
        <v>41</v>
      </c>
      <c r="F6" s="14">
        <v>178.7</v>
      </c>
      <c r="G6" s="14">
        <v>115.7</v>
      </c>
      <c r="H6" s="14">
        <v>37.700000000000003</v>
      </c>
      <c r="I6" s="21">
        <f t="shared" si="1"/>
        <v>-20.300000000000011</v>
      </c>
      <c r="J6" s="14">
        <f t="shared" si="0"/>
        <v>1.7000000000000028</v>
      </c>
      <c r="K6" s="17">
        <f t="shared" si="0"/>
        <v>-2.5999999999999943</v>
      </c>
      <c r="L6" s="14">
        <v>199</v>
      </c>
      <c r="M6" s="14">
        <v>199</v>
      </c>
    </row>
    <row r="7" spans="1:13" x14ac:dyDescent="0.25">
      <c r="A7" s="25" t="s">
        <v>17</v>
      </c>
      <c r="B7" s="14">
        <v>169</v>
      </c>
      <c r="C7" s="14">
        <v>67</v>
      </c>
      <c r="D7" s="14">
        <v>44</v>
      </c>
      <c r="E7" s="23" t="s">
        <v>41</v>
      </c>
      <c r="F7" s="14">
        <v>137.69999999999999</v>
      </c>
      <c r="G7" s="14">
        <v>47.3</v>
      </c>
      <c r="H7" s="14">
        <v>40.700000000000003</v>
      </c>
      <c r="I7" s="21">
        <f t="shared" si="1"/>
        <v>-31.300000000000011</v>
      </c>
      <c r="J7" s="14">
        <f t="shared" si="0"/>
        <v>-19.700000000000003</v>
      </c>
      <c r="K7" s="17">
        <f t="shared" si="0"/>
        <v>-3.2999999999999972</v>
      </c>
      <c r="L7" s="14">
        <v>169</v>
      </c>
      <c r="M7" s="14">
        <v>169</v>
      </c>
    </row>
    <row r="8" spans="1:13" x14ac:dyDescent="0.25">
      <c r="A8" s="25" t="s">
        <v>17</v>
      </c>
      <c r="B8" s="14">
        <v>157</v>
      </c>
      <c r="C8" s="14">
        <v>79.7</v>
      </c>
      <c r="D8" s="14">
        <v>48.7</v>
      </c>
      <c r="E8" s="23" t="s">
        <v>41</v>
      </c>
      <c r="F8" s="14">
        <v>158.69999999999999</v>
      </c>
      <c r="G8" s="14">
        <v>72.7</v>
      </c>
      <c r="H8" s="14">
        <v>48.7</v>
      </c>
      <c r="I8" s="21">
        <f t="shared" si="1"/>
        <v>1.6999999999999886</v>
      </c>
      <c r="J8" s="14">
        <f t="shared" si="0"/>
        <v>-7</v>
      </c>
      <c r="K8" s="17">
        <f t="shared" si="0"/>
        <v>0</v>
      </c>
      <c r="L8" s="14">
        <v>157</v>
      </c>
      <c r="M8" s="14">
        <v>157</v>
      </c>
    </row>
    <row r="9" spans="1:13" x14ac:dyDescent="0.25">
      <c r="A9" s="25" t="s">
        <v>8</v>
      </c>
      <c r="B9" s="14">
        <v>173.3</v>
      </c>
      <c r="C9" s="14">
        <v>58</v>
      </c>
      <c r="D9" s="14">
        <v>61</v>
      </c>
      <c r="E9" s="23" t="s">
        <v>41</v>
      </c>
      <c r="F9" s="14">
        <v>176.3</v>
      </c>
      <c r="G9" s="14">
        <v>67.3</v>
      </c>
      <c r="H9" s="14">
        <v>53.3</v>
      </c>
      <c r="I9" s="21">
        <f t="shared" si="1"/>
        <v>3</v>
      </c>
      <c r="J9" s="14">
        <f t="shared" si="0"/>
        <v>9.2999999999999972</v>
      </c>
      <c r="K9" s="17">
        <f t="shared" si="0"/>
        <v>-7.7000000000000028</v>
      </c>
      <c r="L9" s="14">
        <v>173.3</v>
      </c>
      <c r="M9" s="14">
        <v>173.3</v>
      </c>
    </row>
    <row r="10" spans="1:13" x14ac:dyDescent="0.25">
      <c r="A10" s="25" t="s">
        <v>8</v>
      </c>
      <c r="B10" s="14">
        <v>166.7</v>
      </c>
      <c r="C10" s="14">
        <v>92.3</v>
      </c>
      <c r="D10" s="14">
        <v>52.7</v>
      </c>
      <c r="E10" s="23" t="s">
        <v>41</v>
      </c>
      <c r="F10" s="14">
        <v>170.7</v>
      </c>
      <c r="G10" s="14">
        <v>64</v>
      </c>
      <c r="H10" s="14">
        <v>59.3</v>
      </c>
      <c r="I10" s="21">
        <f t="shared" si="1"/>
        <v>4</v>
      </c>
      <c r="J10" s="14">
        <f t="shared" si="0"/>
        <v>-28.299999999999997</v>
      </c>
      <c r="K10" s="17">
        <f t="shared" si="0"/>
        <v>6.5999999999999943</v>
      </c>
      <c r="L10" s="14">
        <v>166.7</v>
      </c>
      <c r="M10" s="14">
        <v>166.7</v>
      </c>
    </row>
    <row r="11" spans="1:13" x14ac:dyDescent="0.25">
      <c r="A11" s="25" t="s">
        <v>17</v>
      </c>
      <c r="B11" s="14">
        <v>190.3</v>
      </c>
      <c r="C11" s="14">
        <v>120.3</v>
      </c>
      <c r="D11" s="14">
        <v>36</v>
      </c>
      <c r="E11" s="23" t="s">
        <v>41</v>
      </c>
      <c r="F11" s="14">
        <v>182.3</v>
      </c>
      <c r="G11" s="14">
        <v>138</v>
      </c>
      <c r="H11" s="14">
        <v>36</v>
      </c>
      <c r="I11" s="21">
        <f t="shared" si="1"/>
        <v>-8</v>
      </c>
      <c r="J11" s="14">
        <f t="shared" si="0"/>
        <v>17.700000000000003</v>
      </c>
      <c r="K11" s="17">
        <f t="shared" si="0"/>
        <v>0</v>
      </c>
      <c r="L11" s="14">
        <v>190.3</v>
      </c>
      <c r="M11" s="14">
        <v>190.3</v>
      </c>
    </row>
    <row r="12" spans="1:13" x14ac:dyDescent="0.25">
      <c r="A12" s="25" t="s">
        <v>8</v>
      </c>
      <c r="B12" s="14">
        <v>173.3</v>
      </c>
      <c r="C12" s="14">
        <v>182.7</v>
      </c>
      <c r="D12" s="14">
        <v>39.299999999999997</v>
      </c>
      <c r="E12" s="23" t="s">
        <v>41</v>
      </c>
      <c r="F12" s="14">
        <v>187.7</v>
      </c>
      <c r="G12" s="14">
        <v>153.30000000000001</v>
      </c>
      <c r="H12" s="14">
        <v>44.3</v>
      </c>
      <c r="I12" s="21">
        <f t="shared" si="1"/>
        <v>14.399999999999977</v>
      </c>
      <c r="J12" s="14">
        <f t="shared" si="0"/>
        <v>-29.399999999999977</v>
      </c>
      <c r="K12" s="17">
        <f t="shared" si="0"/>
        <v>5</v>
      </c>
      <c r="L12" s="14">
        <v>173.3</v>
      </c>
      <c r="M12" s="14">
        <v>173.3</v>
      </c>
    </row>
    <row r="13" spans="1:13" x14ac:dyDescent="0.25">
      <c r="A13" s="25" t="s">
        <v>17</v>
      </c>
      <c r="B13" s="14">
        <v>197.3</v>
      </c>
      <c r="C13" s="14">
        <v>120.3</v>
      </c>
      <c r="D13" s="14">
        <v>45.3</v>
      </c>
      <c r="E13" s="23" t="s">
        <v>41</v>
      </c>
      <c r="F13" s="14">
        <v>187</v>
      </c>
      <c r="G13" s="14">
        <v>131.69999999999999</v>
      </c>
      <c r="H13" s="14">
        <v>41</v>
      </c>
      <c r="I13" s="21">
        <f t="shared" si="1"/>
        <v>-10.300000000000011</v>
      </c>
      <c r="J13" s="14">
        <f t="shared" si="0"/>
        <v>11.399999999999991</v>
      </c>
      <c r="K13" s="17">
        <f t="shared" si="0"/>
        <v>-4.2999999999999972</v>
      </c>
      <c r="L13" s="14">
        <v>197.3</v>
      </c>
      <c r="M13" s="14">
        <v>197.3</v>
      </c>
    </row>
    <row r="14" spans="1:13" x14ac:dyDescent="0.25">
      <c r="A14" s="25" t="s">
        <v>17</v>
      </c>
      <c r="B14" s="14">
        <v>145</v>
      </c>
      <c r="C14" s="14">
        <v>72.3</v>
      </c>
      <c r="D14" s="14">
        <v>54.3</v>
      </c>
      <c r="E14" s="23" t="s">
        <v>41</v>
      </c>
      <c r="F14" s="14">
        <v>141.30000000000001</v>
      </c>
      <c r="G14" s="14">
        <v>72.7</v>
      </c>
      <c r="H14" s="14">
        <v>49.7</v>
      </c>
      <c r="I14" s="21">
        <f t="shared" si="1"/>
        <v>-3.6999999999999886</v>
      </c>
      <c r="J14" s="14">
        <f t="shared" si="0"/>
        <v>0.40000000000000568</v>
      </c>
      <c r="K14" s="17">
        <f t="shared" si="0"/>
        <v>-4.5999999999999943</v>
      </c>
      <c r="L14" s="14">
        <v>145</v>
      </c>
      <c r="M14" s="14">
        <v>145</v>
      </c>
    </row>
    <row r="15" spans="1:13" x14ac:dyDescent="0.25">
      <c r="A15" s="25" t="s">
        <v>17</v>
      </c>
      <c r="B15" s="14">
        <v>188</v>
      </c>
      <c r="C15" s="14">
        <v>109.7</v>
      </c>
      <c r="D15" s="14">
        <v>41.7</v>
      </c>
      <c r="E15" s="23" t="s">
        <v>42</v>
      </c>
      <c r="F15" s="14">
        <v>183.3</v>
      </c>
      <c r="G15" s="14">
        <v>89.3</v>
      </c>
      <c r="H15" s="14">
        <v>45.7</v>
      </c>
      <c r="I15" s="21">
        <f t="shared" si="1"/>
        <v>-4.6999999999999886</v>
      </c>
      <c r="J15" s="14">
        <f t="shared" si="0"/>
        <v>-20.400000000000006</v>
      </c>
      <c r="K15" s="17">
        <f t="shared" si="0"/>
        <v>4</v>
      </c>
      <c r="L15" s="14">
        <v>188</v>
      </c>
      <c r="M15" s="14">
        <v>109.7</v>
      </c>
    </row>
    <row r="16" spans="1:13" x14ac:dyDescent="0.25">
      <c r="A16" s="25" t="s">
        <v>17</v>
      </c>
      <c r="B16" s="14">
        <v>160</v>
      </c>
      <c r="C16" s="14">
        <v>55.7</v>
      </c>
      <c r="D16" s="14">
        <v>53.3</v>
      </c>
      <c r="E16" s="23" t="s">
        <v>42</v>
      </c>
      <c r="F16" s="14">
        <v>151.69999999999999</v>
      </c>
      <c r="G16" s="14">
        <v>43.7</v>
      </c>
      <c r="H16" s="14">
        <v>49.3</v>
      </c>
      <c r="I16" s="21">
        <f t="shared" si="1"/>
        <v>-8.3000000000000114</v>
      </c>
      <c r="J16" s="14">
        <f t="shared" si="0"/>
        <v>-12</v>
      </c>
      <c r="K16" s="17">
        <f t="shared" si="0"/>
        <v>-4</v>
      </c>
      <c r="L16" s="14">
        <v>160</v>
      </c>
      <c r="M16" s="14">
        <v>55.7</v>
      </c>
    </row>
    <row r="17" spans="1:13" x14ac:dyDescent="0.25">
      <c r="A17" s="25" t="s">
        <v>8</v>
      </c>
      <c r="B17" s="14">
        <v>185.7</v>
      </c>
      <c r="C17" s="14">
        <v>112.7</v>
      </c>
      <c r="D17" s="14">
        <v>40.299999999999997</v>
      </c>
      <c r="E17" s="23" t="s">
        <v>42</v>
      </c>
      <c r="F17" s="14">
        <v>154.30000000000001</v>
      </c>
      <c r="G17" s="14">
        <v>97.7</v>
      </c>
      <c r="H17" s="14">
        <v>36.299999999999997</v>
      </c>
      <c r="I17" s="21">
        <f t="shared" si="1"/>
        <v>-31.399999999999977</v>
      </c>
      <c r="J17" s="14">
        <f t="shared" si="0"/>
        <v>-15</v>
      </c>
      <c r="K17" s="17">
        <f t="shared" si="0"/>
        <v>-4</v>
      </c>
      <c r="L17" s="14">
        <v>185.7</v>
      </c>
      <c r="M17" s="14">
        <v>112.7</v>
      </c>
    </row>
    <row r="18" spans="1:13" x14ac:dyDescent="0.25">
      <c r="A18" s="25" t="s">
        <v>8</v>
      </c>
      <c r="B18" s="14">
        <v>185.3</v>
      </c>
      <c r="C18" s="14">
        <v>101.7</v>
      </c>
      <c r="D18" s="14">
        <v>46.7</v>
      </c>
      <c r="E18" s="23" t="s">
        <v>42</v>
      </c>
      <c r="F18" s="14">
        <v>157.30000000000001</v>
      </c>
      <c r="G18" s="14">
        <v>68.7</v>
      </c>
      <c r="H18" s="14">
        <v>40</v>
      </c>
      <c r="I18" s="21">
        <f t="shared" si="1"/>
        <v>-28</v>
      </c>
      <c r="J18" s="14">
        <f t="shared" si="0"/>
        <v>-33</v>
      </c>
      <c r="K18" s="17">
        <f t="shared" si="0"/>
        <v>-6.7000000000000028</v>
      </c>
      <c r="L18" s="14">
        <v>185.3</v>
      </c>
      <c r="M18" s="14">
        <v>101.7</v>
      </c>
    </row>
    <row r="19" spans="1:13" x14ac:dyDescent="0.25">
      <c r="A19" s="25" t="s">
        <v>8</v>
      </c>
      <c r="B19" s="14">
        <v>190.7</v>
      </c>
      <c r="C19" s="14">
        <v>142.69999999999999</v>
      </c>
      <c r="D19" s="14">
        <v>36.299999999999997</v>
      </c>
      <c r="E19" s="23" t="s">
        <v>42</v>
      </c>
      <c r="F19" s="14">
        <v>169.3</v>
      </c>
      <c r="G19" s="14">
        <v>96.3</v>
      </c>
      <c r="H19" s="14">
        <v>32.299999999999997</v>
      </c>
      <c r="I19" s="21">
        <f t="shared" si="1"/>
        <v>-21.399999999999977</v>
      </c>
      <c r="J19" s="14">
        <f t="shared" si="1"/>
        <v>-46.399999999999991</v>
      </c>
      <c r="K19" s="17">
        <f t="shared" si="1"/>
        <v>-4</v>
      </c>
      <c r="L19" s="14">
        <v>190.7</v>
      </c>
      <c r="M19" s="14">
        <v>142.69999999999999</v>
      </c>
    </row>
    <row r="20" spans="1:13" x14ac:dyDescent="0.25">
      <c r="A20" s="25" t="s">
        <v>8</v>
      </c>
      <c r="B20" s="14">
        <v>218</v>
      </c>
      <c r="C20" s="14">
        <v>131</v>
      </c>
      <c r="D20" s="14">
        <v>38.299999999999997</v>
      </c>
      <c r="E20" s="23" t="s">
        <v>42</v>
      </c>
      <c r="F20" s="14">
        <v>183.3</v>
      </c>
      <c r="G20" s="14">
        <v>142.30000000000001</v>
      </c>
      <c r="H20" s="14">
        <v>37</v>
      </c>
      <c r="I20" s="21">
        <f t="shared" si="1"/>
        <v>-34.699999999999989</v>
      </c>
      <c r="J20" s="14">
        <f t="shared" si="1"/>
        <v>11.300000000000011</v>
      </c>
      <c r="K20" s="17">
        <f t="shared" si="1"/>
        <v>-1.2999999999999972</v>
      </c>
      <c r="L20" s="14">
        <v>218</v>
      </c>
      <c r="M20" s="14">
        <v>131</v>
      </c>
    </row>
    <row r="21" spans="1:13" x14ac:dyDescent="0.25">
      <c r="A21" s="25" t="s">
        <v>8</v>
      </c>
      <c r="B21" s="14">
        <v>234.3</v>
      </c>
      <c r="C21" s="14">
        <v>147.30000000000001</v>
      </c>
      <c r="D21" s="14">
        <v>49</v>
      </c>
      <c r="E21" s="23" t="s">
        <v>42</v>
      </c>
      <c r="F21" s="14">
        <v>213.7</v>
      </c>
      <c r="G21" s="14">
        <v>107</v>
      </c>
      <c r="H21" s="14">
        <v>47.3</v>
      </c>
      <c r="I21" s="21">
        <f t="shared" si="1"/>
        <v>-20.600000000000023</v>
      </c>
      <c r="J21" s="14">
        <f t="shared" si="1"/>
        <v>-40.300000000000011</v>
      </c>
      <c r="K21" s="17">
        <f t="shared" si="1"/>
        <v>-1.7000000000000028</v>
      </c>
      <c r="L21" s="14">
        <v>234.3</v>
      </c>
      <c r="M21" s="14">
        <v>147.30000000000001</v>
      </c>
    </row>
    <row r="22" spans="1:13" x14ac:dyDescent="0.25">
      <c r="A22" s="25" t="s">
        <v>17</v>
      </c>
      <c r="B22" s="14">
        <v>176.3</v>
      </c>
      <c r="C22" s="14">
        <v>103.7</v>
      </c>
      <c r="D22" s="14">
        <v>39</v>
      </c>
      <c r="E22" s="23" t="s">
        <v>42</v>
      </c>
      <c r="F22" s="14">
        <v>159.69999999999999</v>
      </c>
      <c r="G22" s="14">
        <v>121</v>
      </c>
      <c r="H22" s="14">
        <v>40.700000000000003</v>
      </c>
      <c r="I22" s="21">
        <f t="shared" si="1"/>
        <v>-16.600000000000023</v>
      </c>
      <c r="J22" s="14">
        <f t="shared" si="1"/>
        <v>17.299999999999997</v>
      </c>
      <c r="K22" s="17">
        <f t="shared" si="1"/>
        <v>1.7000000000000028</v>
      </c>
      <c r="L22" s="14">
        <v>176.3</v>
      </c>
      <c r="M22" s="14">
        <v>103.7</v>
      </c>
    </row>
    <row r="23" spans="1:13" x14ac:dyDescent="0.25">
      <c r="A23" s="25" t="s">
        <v>17</v>
      </c>
      <c r="B23" s="14">
        <v>187.3</v>
      </c>
      <c r="C23" s="14">
        <v>70.3</v>
      </c>
      <c r="D23" s="14">
        <v>59.3</v>
      </c>
      <c r="E23" s="23" t="s">
        <v>42</v>
      </c>
      <c r="F23" s="14">
        <v>172.7</v>
      </c>
      <c r="G23" s="14">
        <v>74.7</v>
      </c>
      <c r="H23" s="14">
        <v>63.3</v>
      </c>
      <c r="I23" s="21">
        <f t="shared" si="1"/>
        <v>-14.600000000000023</v>
      </c>
      <c r="J23" s="14">
        <f t="shared" si="1"/>
        <v>4.4000000000000057</v>
      </c>
      <c r="K23" s="17">
        <f t="shared" si="1"/>
        <v>4</v>
      </c>
      <c r="L23" s="14">
        <v>187.3</v>
      </c>
      <c r="M23" s="14">
        <v>70.3</v>
      </c>
    </row>
    <row r="24" spans="1:13" x14ac:dyDescent="0.25">
      <c r="A24" s="25" t="s">
        <v>8</v>
      </c>
      <c r="B24" s="14">
        <v>180</v>
      </c>
      <c r="C24" s="14">
        <v>94</v>
      </c>
      <c r="D24" s="14">
        <v>31.7</v>
      </c>
      <c r="E24" s="23" t="s">
        <v>42</v>
      </c>
      <c r="F24" s="14">
        <v>137.30000000000001</v>
      </c>
      <c r="G24" s="14">
        <v>59.7</v>
      </c>
      <c r="H24" s="14">
        <v>32</v>
      </c>
      <c r="I24" s="21">
        <f t="shared" si="1"/>
        <v>-42.699999999999989</v>
      </c>
      <c r="J24" s="14">
        <f t="shared" si="1"/>
        <v>-34.299999999999997</v>
      </c>
      <c r="K24" s="17">
        <f t="shared" si="1"/>
        <v>0.30000000000000071</v>
      </c>
      <c r="L24" s="14">
        <v>180</v>
      </c>
      <c r="M24" s="14">
        <v>94</v>
      </c>
    </row>
    <row r="25" spans="1:13" x14ac:dyDescent="0.25">
      <c r="A25" s="25" t="s">
        <v>17</v>
      </c>
      <c r="B25" s="14">
        <v>231.3</v>
      </c>
      <c r="C25" s="14">
        <v>157</v>
      </c>
      <c r="D25" s="14">
        <v>41.7</v>
      </c>
      <c r="E25" s="23" t="s">
        <v>42</v>
      </c>
      <c r="F25" s="14">
        <v>217</v>
      </c>
      <c r="G25" s="14">
        <v>141</v>
      </c>
      <c r="H25" s="14">
        <v>44</v>
      </c>
      <c r="I25" s="21">
        <f t="shared" si="1"/>
        <v>-14.300000000000011</v>
      </c>
      <c r="J25" s="14">
        <f t="shared" si="1"/>
        <v>-16</v>
      </c>
      <c r="K25" s="17">
        <f t="shared" si="1"/>
        <v>2.2999999999999972</v>
      </c>
      <c r="L25" s="14">
        <v>231.3</v>
      </c>
      <c r="M25" s="14">
        <v>157</v>
      </c>
    </row>
    <row r="26" spans="1:13" x14ac:dyDescent="0.25">
      <c r="A26" s="25" t="s">
        <v>17</v>
      </c>
      <c r="B26" s="14">
        <v>188</v>
      </c>
      <c r="C26" s="14">
        <v>91.3</v>
      </c>
      <c r="D26" s="14">
        <v>41.7</v>
      </c>
      <c r="E26" s="23" t="s">
        <v>42</v>
      </c>
      <c r="F26" s="14">
        <v>187.3</v>
      </c>
      <c r="G26" s="14">
        <v>87.3</v>
      </c>
      <c r="H26" s="14">
        <v>43.3</v>
      </c>
      <c r="I26" s="21">
        <f t="shared" si="1"/>
        <v>-0.69999999999998863</v>
      </c>
      <c r="J26" s="14">
        <f t="shared" si="1"/>
        <v>-4</v>
      </c>
      <c r="K26" s="17">
        <f t="shared" si="1"/>
        <v>1.5999999999999943</v>
      </c>
      <c r="L26" s="14">
        <v>188</v>
      </c>
      <c r="M26" s="14">
        <v>91.3</v>
      </c>
    </row>
    <row r="27" spans="1:13" x14ac:dyDescent="0.25">
      <c r="A27" s="25" t="s">
        <v>8</v>
      </c>
      <c r="B27" s="14">
        <v>203</v>
      </c>
      <c r="C27" s="14">
        <v>73.7</v>
      </c>
      <c r="D27" s="14">
        <v>41.7</v>
      </c>
      <c r="E27" s="23" t="s">
        <v>43</v>
      </c>
      <c r="F27" s="14">
        <v>182.3</v>
      </c>
      <c r="G27" s="14">
        <v>66.3</v>
      </c>
      <c r="H27" s="14">
        <v>43.3</v>
      </c>
      <c r="I27" s="21">
        <f t="shared" si="1"/>
        <v>-20.699999999999989</v>
      </c>
      <c r="J27" s="14">
        <f t="shared" si="1"/>
        <v>-7.4000000000000057</v>
      </c>
      <c r="K27" s="17">
        <f t="shared" si="1"/>
        <v>1.5999999999999943</v>
      </c>
      <c r="L27" s="14">
        <v>203</v>
      </c>
      <c r="M27" s="14">
        <v>41.7</v>
      </c>
    </row>
    <row r="28" spans="1:13" x14ac:dyDescent="0.25">
      <c r="A28" s="25" t="s">
        <v>8</v>
      </c>
      <c r="B28" s="14">
        <v>179</v>
      </c>
      <c r="C28" s="14">
        <v>63.3</v>
      </c>
      <c r="D28" s="14">
        <v>67.7</v>
      </c>
      <c r="E28" s="23" t="s">
        <v>43</v>
      </c>
      <c r="F28" s="14">
        <v>153.30000000000001</v>
      </c>
      <c r="G28" s="14">
        <v>47.7</v>
      </c>
      <c r="H28" s="14">
        <v>61.3</v>
      </c>
      <c r="I28" s="21">
        <f t="shared" si="1"/>
        <v>-25.699999999999989</v>
      </c>
      <c r="J28" s="14">
        <f t="shared" si="1"/>
        <v>-15.599999999999994</v>
      </c>
      <c r="K28" s="17">
        <f t="shared" si="1"/>
        <v>-6.4000000000000057</v>
      </c>
      <c r="L28" s="14">
        <v>179</v>
      </c>
      <c r="M28" s="14">
        <v>67.7</v>
      </c>
    </row>
    <row r="29" spans="1:13" x14ac:dyDescent="0.25">
      <c r="A29" s="25" t="s">
        <v>17</v>
      </c>
      <c r="B29" s="14">
        <v>194.7</v>
      </c>
      <c r="C29" s="14">
        <v>139.30000000000001</v>
      </c>
      <c r="D29" s="14">
        <v>39.299999999999997</v>
      </c>
      <c r="E29" s="23" t="s">
        <v>43</v>
      </c>
      <c r="F29" s="14">
        <v>186.3</v>
      </c>
      <c r="G29" s="14">
        <v>151</v>
      </c>
      <c r="H29" s="14">
        <v>37.700000000000003</v>
      </c>
      <c r="I29" s="21">
        <f t="shared" si="1"/>
        <v>-8.3999999999999773</v>
      </c>
      <c r="J29" s="14">
        <f t="shared" si="1"/>
        <v>11.699999999999989</v>
      </c>
      <c r="K29" s="17">
        <f t="shared" si="1"/>
        <v>-1.5999999999999943</v>
      </c>
      <c r="L29" s="14">
        <v>194.7</v>
      </c>
      <c r="M29" s="14">
        <v>39.299999999999997</v>
      </c>
    </row>
    <row r="30" spans="1:13" x14ac:dyDescent="0.25">
      <c r="A30" s="25" t="s">
        <v>8</v>
      </c>
      <c r="B30" s="14">
        <v>184</v>
      </c>
      <c r="C30" s="14">
        <v>66</v>
      </c>
      <c r="D30" s="14">
        <v>43.7</v>
      </c>
      <c r="E30" s="23" t="s">
        <v>43</v>
      </c>
      <c r="F30" s="14">
        <v>155.69999999999999</v>
      </c>
      <c r="G30" s="14">
        <v>56.7</v>
      </c>
      <c r="H30" s="14">
        <v>40.700000000000003</v>
      </c>
      <c r="I30" s="21">
        <f t="shared" si="1"/>
        <v>-28.300000000000011</v>
      </c>
      <c r="J30" s="14">
        <f t="shared" si="1"/>
        <v>-9.2999999999999972</v>
      </c>
      <c r="K30" s="17">
        <f t="shared" si="1"/>
        <v>-3</v>
      </c>
      <c r="L30" s="14">
        <v>184</v>
      </c>
      <c r="M30" s="14">
        <v>43.7</v>
      </c>
    </row>
    <row r="31" spans="1:13" x14ac:dyDescent="0.25">
      <c r="A31" s="25" t="s">
        <v>8</v>
      </c>
      <c r="B31" s="14">
        <v>180.7</v>
      </c>
      <c r="C31" s="14">
        <v>87.7</v>
      </c>
      <c r="D31" s="14">
        <v>45</v>
      </c>
      <c r="E31" s="23" t="s">
        <v>43</v>
      </c>
      <c r="F31" s="14">
        <v>155.30000000000001</v>
      </c>
      <c r="G31" s="14">
        <v>90.3</v>
      </c>
      <c r="H31" s="14">
        <v>40.700000000000003</v>
      </c>
      <c r="I31" s="21">
        <f t="shared" si="1"/>
        <v>-25.399999999999977</v>
      </c>
      <c r="J31" s="14">
        <f t="shared" si="1"/>
        <v>2.5999999999999943</v>
      </c>
      <c r="K31" s="17">
        <f t="shared" si="1"/>
        <v>-4.2999999999999972</v>
      </c>
      <c r="L31" s="14">
        <v>180.7</v>
      </c>
      <c r="M31" s="14">
        <v>45</v>
      </c>
    </row>
    <row r="32" spans="1:13" x14ac:dyDescent="0.25">
      <c r="A32" s="25" t="s">
        <v>8</v>
      </c>
      <c r="B32" s="14">
        <v>190.7</v>
      </c>
      <c r="C32" s="14">
        <v>98</v>
      </c>
      <c r="D32" s="14">
        <v>48</v>
      </c>
      <c r="E32" s="23" t="s">
        <v>43</v>
      </c>
      <c r="F32" s="14">
        <v>165.7</v>
      </c>
      <c r="G32" s="14">
        <v>63.7</v>
      </c>
      <c r="H32" s="14">
        <v>42.3</v>
      </c>
      <c r="I32" s="21">
        <f t="shared" si="1"/>
        <v>-25</v>
      </c>
      <c r="J32" s="14">
        <f t="shared" si="1"/>
        <v>-34.299999999999997</v>
      </c>
      <c r="K32" s="17">
        <f t="shared" si="1"/>
        <v>-5.7000000000000028</v>
      </c>
      <c r="L32" s="14">
        <v>190.7</v>
      </c>
      <c r="M32" s="14">
        <v>48</v>
      </c>
    </row>
    <row r="33" spans="1:13" x14ac:dyDescent="0.25">
      <c r="A33" s="25" t="s">
        <v>17</v>
      </c>
      <c r="B33" s="14">
        <v>189.7</v>
      </c>
      <c r="C33" s="14">
        <v>121</v>
      </c>
      <c r="D33" s="14">
        <v>42</v>
      </c>
      <c r="E33" s="23" t="s">
        <v>43</v>
      </c>
      <c r="F33" s="14">
        <v>180</v>
      </c>
      <c r="G33" s="14">
        <v>87</v>
      </c>
      <c r="H33" s="14">
        <v>43</v>
      </c>
      <c r="I33" s="21">
        <f t="shared" si="1"/>
        <v>-9.6999999999999886</v>
      </c>
      <c r="J33" s="14">
        <f t="shared" si="1"/>
        <v>-34</v>
      </c>
      <c r="K33" s="17">
        <f t="shared" si="1"/>
        <v>1</v>
      </c>
      <c r="L33" s="14">
        <v>189.7</v>
      </c>
      <c r="M33" s="14">
        <v>42</v>
      </c>
    </row>
    <row r="34" spans="1:13" x14ac:dyDescent="0.25">
      <c r="A34" s="25" t="s">
        <v>17</v>
      </c>
      <c r="B34" s="14">
        <v>163.69999999999999</v>
      </c>
      <c r="C34" s="14">
        <v>90</v>
      </c>
      <c r="D34" s="14">
        <v>51.3</v>
      </c>
      <c r="E34" s="23" t="s">
        <v>43</v>
      </c>
      <c r="F34" s="14">
        <v>163</v>
      </c>
      <c r="G34" s="14">
        <v>110</v>
      </c>
      <c r="H34" s="14">
        <v>49.7</v>
      </c>
      <c r="I34" s="21">
        <f t="shared" si="1"/>
        <v>-0.69999999999998863</v>
      </c>
      <c r="J34" s="14">
        <f t="shared" si="1"/>
        <v>20</v>
      </c>
      <c r="K34" s="17">
        <f t="shared" si="1"/>
        <v>-1.5999999999999943</v>
      </c>
      <c r="L34" s="14">
        <v>163.69999999999999</v>
      </c>
      <c r="M34" s="14">
        <v>51.3</v>
      </c>
    </row>
    <row r="35" spans="1:13" x14ac:dyDescent="0.25">
      <c r="A35" s="25" t="s">
        <v>17</v>
      </c>
      <c r="B35" s="14">
        <v>177.7</v>
      </c>
      <c r="C35" s="14">
        <v>119.3</v>
      </c>
      <c r="D35" s="14">
        <v>52.3</v>
      </c>
      <c r="E35" s="23" t="s">
        <v>43</v>
      </c>
      <c r="F35" s="14">
        <v>170.3</v>
      </c>
      <c r="G35" s="14">
        <v>79</v>
      </c>
      <c r="H35" s="14">
        <v>49</v>
      </c>
      <c r="I35" s="21">
        <f t="shared" si="1"/>
        <v>-7.3999999999999773</v>
      </c>
      <c r="J35" s="14">
        <f t="shared" si="1"/>
        <v>-40.299999999999997</v>
      </c>
      <c r="K35" s="17">
        <f t="shared" si="1"/>
        <v>-3.2999999999999972</v>
      </c>
      <c r="L35" s="14">
        <v>177.7</v>
      </c>
      <c r="M35" s="14">
        <v>52.3</v>
      </c>
    </row>
    <row r="36" spans="1:13" x14ac:dyDescent="0.25">
      <c r="A36" s="25" t="s">
        <v>8</v>
      </c>
      <c r="B36" s="14">
        <v>141</v>
      </c>
      <c r="C36" s="14">
        <v>99</v>
      </c>
      <c r="D36" s="14">
        <v>47.3</v>
      </c>
      <c r="E36" s="23" t="s">
        <v>43</v>
      </c>
      <c r="F36" s="14">
        <v>128</v>
      </c>
      <c r="G36" s="14">
        <v>80.3</v>
      </c>
      <c r="H36" s="14">
        <v>43</v>
      </c>
      <c r="I36" s="21">
        <f t="shared" si="1"/>
        <v>-13</v>
      </c>
      <c r="J36" s="14">
        <f t="shared" si="1"/>
        <v>-18.700000000000003</v>
      </c>
      <c r="K36" s="17">
        <f t="shared" si="1"/>
        <v>-4.2999999999999972</v>
      </c>
      <c r="L36" s="14">
        <v>141</v>
      </c>
      <c r="M36" s="14">
        <v>47.3</v>
      </c>
    </row>
    <row r="37" spans="1:13" x14ac:dyDescent="0.25">
      <c r="A37" s="25" t="s">
        <v>17</v>
      </c>
      <c r="B37" s="14">
        <v>159</v>
      </c>
      <c r="C37" s="14">
        <v>63</v>
      </c>
      <c r="D37" s="14">
        <v>45.7</v>
      </c>
      <c r="E37" s="23" t="s">
        <v>43</v>
      </c>
      <c r="F37" s="14">
        <v>156</v>
      </c>
      <c r="G37" s="14">
        <v>63.3</v>
      </c>
      <c r="H37" s="14">
        <v>43.7</v>
      </c>
      <c r="I37" s="21">
        <f t="shared" si="1"/>
        <v>-3</v>
      </c>
      <c r="J37" s="14">
        <f t="shared" si="1"/>
        <v>0.29999999999999716</v>
      </c>
      <c r="K37" s="17">
        <f t="shared" si="1"/>
        <v>-2</v>
      </c>
      <c r="L37" s="14">
        <v>159</v>
      </c>
      <c r="M37" s="14">
        <v>45.7</v>
      </c>
    </row>
    <row r="38" spans="1:13" x14ac:dyDescent="0.25">
      <c r="A38" s="25" t="s">
        <v>17</v>
      </c>
      <c r="B38" s="14">
        <v>180</v>
      </c>
      <c r="C38" s="14">
        <v>120.7</v>
      </c>
      <c r="D38" s="14">
        <v>53</v>
      </c>
      <c r="E38" s="23" t="s">
        <v>43</v>
      </c>
      <c r="F38" s="14">
        <v>177.3</v>
      </c>
      <c r="G38" s="14">
        <v>117.3</v>
      </c>
      <c r="H38" s="14">
        <v>47.7</v>
      </c>
      <c r="I38" s="21">
        <f t="shared" si="1"/>
        <v>-2.6999999999999886</v>
      </c>
      <c r="J38" s="14">
        <f t="shared" si="1"/>
        <v>-3.4000000000000057</v>
      </c>
      <c r="K38" s="17">
        <f t="shared" si="1"/>
        <v>-5.2999999999999972</v>
      </c>
      <c r="L38" s="14">
        <v>180</v>
      </c>
      <c r="M38" s="14">
        <v>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zoomScaleNormal="100" workbookViewId="0">
      <pane ySplit="1" topLeftCell="A2" activePane="bottomLeft" state="frozen"/>
      <selection pane="bottomLeft" activeCell="P1" sqref="P1:T1048576"/>
    </sheetView>
  </sheetViews>
  <sheetFormatPr defaultColWidth="8.85546875" defaultRowHeight="15" x14ac:dyDescent="0.25"/>
  <cols>
    <col min="1" max="1" width="3.5703125" style="11" customWidth="1"/>
    <col min="2" max="3" width="5.5703125" style="2" bestFit="1" customWidth="1"/>
    <col min="4" max="4" width="4.5703125" style="11" bestFit="1" customWidth="1"/>
    <col min="5" max="5" width="4" style="11" bestFit="1" customWidth="1"/>
    <col min="6" max="6" width="6.140625" style="10" customWidth="1"/>
    <col min="7" max="7" width="4.5703125" style="11" bestFit="1" customWidth="1"/>
    <col min="8" max="8" width="5.5703125" style="11" bestFit="1" customWidth="1"/>
    <col min="9" max="9" width="4.5703125" style="11" bestFit="1" customWidth="1"/>
    <col min="10" max="10" width="4.5703125" style="2" customWidth="1"/>
    <col min="11" max="11" width="4.5703125" style="11" bestFit="1" customWidth="1"/>
    <col min="12" max="12" width="6.5703125" style="3" customWidth="1"/>
    <col min="13" max="13" width="4.85546875" style="11" customWidth="1"/>
    <col min="14" max="14" width="7.5703125" style="3" bestFit="1" customWidth="1"/>
    <col min="15" max="15" width="2.85546875" style="3" customWidth="1"/>
    <col min="16" max="16384" width="8.85546875" style="11"/>
  </cols>
  <sheetData>
    <row r="1" spans="1:15" s="7" customFormat="1" x14ac:dyDescent="0.25">
      <c r="A1" s="6" t="s">
        <v>66</v>
      </c>
      <c r="B1" s="4" t="s">
        <v>20</v>
      </c>
      <c r="C1" s="4" t="s">
        <v>21</v>
      </c>
      <c r="D1" s="6" t="s">
        <v>23</v>
      </c>
      <c r="E1" s="6" t="s">
        <v>24</v>
      </c>
      <c r="F1" s="9" t="s">
        <v>25</v>
      </c>
      <c r="G1" s="6" t="s">
        <v>26</v>
      </c>
      <c r="H1" s="6" t="s">
        <v>27</v>
      </c>
      <c r="I1" s="6" t="s">
        <v>28</v>
      </c>
      <c r="J1" s="4" t="s">
        <v>29</v>
      </c>
      <c r="K1" s="6" t="s">
        <v>30</v>
      </c>
      <c r="L1" s="6" t="s">
        <v>60</v>
      </c>
      <c r="M1" s="8" t="s">
        <v>67</v>
      </c>
      <c r="N1" s="6" t="s">
        <v>1</v>
      </c>
      <c r="O1" s="6"/>
    </row>
    <row r="2" spans="1:15" x14ac:dyDescent="0.25">
      <c r="A2" s="11" t="s">
        <v>8</v>
      </c>
      <c r="B2" s="2">
        <v>217.66666667000001</v>
      </c>
      <c r="C2" s="2">
        <v>124.33333333</v>
      </c>
      <c r="D2" s="2">
        <v>47.841200000000001</v>
      </c>
      <c r="E2" s="11">
        <v>144</v>
      </c>
      <c r="F2" s="10">
        <v>4.8170971009999999</v>
      </c>
      <c r="G2" s="2">
        <v>24.01</v>
      </c>
      <c r="H2" s="2">
        <v>111.33333333</v>
      </c>
      <c r="I2" s="2">
        <v>9.9</v>
      </c>
      <c r="J2" s="2">
        <v>18</v>
      </c>
      <c r="K2" s="11">
        <v>393</v>
      </c>
      <c r="L2" s="3" t="s">
        <v>61</v>
      </c>
      <c r="M2" s="11" t="s">
        <v>68</v>
      </c>
      <c r="N2" s="3" t="s">
        <v>2</v>
      </c>
    </row>
    <row r="3" spans="1:15" x14ac:dyDescent="0.25">
      <c r="A3" s="11" t="s">
        <v>8</v>
      </c>
      <c r="B3" s="2">
        <v>288.66666666999998</v>
      </c>
      <c r="C3" s="2">
        <v>149.33333332999999</v>
      </c>
      <c r="D3" s="2">
        <v>45.666666667000001</v>
      </c>
      <c r="E3" s="11">
        <v>213</v>
      </c>
      <c r="F3" s="10">
        <v>4.9939520862000002</v>
      </c>
      <c r="G3" s="2">
        <v>24.67</v>
      </c>
      <c r="H3" s="2">
        <v>96.666666667000001</v>
      </c>
      <c r="I3" s="2">
        <v>12.2</v>
      </c>
      <c r="J3" s="2">
        <v>47.333333332999999</v>
      </c>
      <c r="K3" s="11">
        <v>348</v>
      </c>
      <c r="L3" s="3" t="s">
        <v>61</v>
      </c>
      <c r="M3" s="11" t="s">
        <v>69</v>
      </c>
      <c r="N3" s="3" t="s">
        <v>3</v>
      </c>
    </row>
    <row r="4" spans="1:15" x14ac:dyDescent="0.25">
      <c r="A4" s="11" t="s">
        <v>8</v>
      </c>
      <c r="B4" s="2">
        <v>254</v>
      </c>
      <c r="C4" s="2">
        <v>315.33333333000002</v>
      </c>
      <c r="D4" s="2">
        <v>40.333333332999999</v>
      </c>
      <c r="E4" s="11">
        <v>151</v>
      </c>
      <c r="F4" s="10">
        <v>5.6996858792999996</v>
      </c>
      <c r="G4" s="2">
        <v>29.18</v>
      </c>
      <c r="H4" s="2">
        <v>111.33333333</v>
      </c>
      <c r="I4" s="2">
        <v>18.100000000000001</v>
      </c>
      <c r="J4" s="2">
        <v>45.333333332999999</v>
      </c>
      <c r="K4" s="11">
        <v>329</v>
      </c>
      <c r="L4" s="3" t="s">
        <v>65</v>
      </c>
      <c r="M4" s="11" t="s">
        <v>70</v>
      </c>
      <c r="N4" s="3" t="s">
        <v>2</v>
      </c>
    </row>
    <row r="5" spans="1:15" x14ac:dyDescent="0.25">
      <c r="A5" s="11" t="s">
        <v>8</v>
      </c>
      <c r="B5" s="2">
        <v>194.66666667000001</v>
      </c>
      <c r="C5" s="2">
        <v>79.666666667000001</v>
      </c>
      <c r="D5" s="2">
        <v>40.333333332999999</v>
      </c>
      <c r="E5" s="11">
        <v>138</v>
      </c>
      <c r="F5" s="10">
        <v>4.3321004108999999</v>
      </c>
      <c r="G5" s="2">
        <v>29.35</v>
      </c>
      <c r="H5" s="2">
        <v>81.666666667000001</v>
      </c>
      <c r="I5" s="2">
        <v>9.5</v>
      </c>
      <c r="J5" s="2">
        <v>20.333333332999999</v>
      </c>
      <c r="K5" s="11">
        <v>275</v>
      </c>
      <c r="L5" s="3" t="s">
        <v>65</v>
      </c>
      <c r="M5" s="11" t="s">
        <v>68</v>
      </c>
      <c r="N5" s="3" t="s">
        <v>2</v>
      </c>
    </row>
    <row r="6" spans="1:15" x14ac:dyDescent="0.25">
      <c r="A6" s="11" t="s">
        <v>8</v>
      </c>
      <c r="B6" s="2">
        <v>210</v>
      </c>
      <c r="C6" s="2">
        <v>174.66666667000001</v>
      </c>
      <c r="D6" s="2">
        <v>39</v>
      </c>
      <c r="E6" s="11">
        <v>136</v>
      </c>
      <c r="F6" s="10">
        <v>5.1589231552000001</v>
      </c>
      <c r="G6" s="2">
        <v>26.13</v>
      </c>
      <c r="H6" s="2">
        <v>106</v>
      </c>
      <c r="I6" s="2">
        <v>16.5</v>
      </c>
      <c r="J6" s="2">
        <v>1.3333333332999999</v>
      </c>
      <c r="K6" s="11">
        <v>379</v>
      </c>
      <c r="L6" s="3" t="s">
        <v>65</v>
      </c>
      <c r="M6" s="11" t="s">
        <v>69</v>
      </c>
      <c r="N6" s="3" t="s">
        <v>3</v>
      </c>
    </row>
    <row r="7" spans="1:15" x14ac:dyDescent="0.25">
      <c r="A7" s="11" t="s">
        <v>8</v>
      </c>
      <c r="B7" s="2">
        <v>173.33333332999999</v>
      </c>
      <c r="C7" s="2">
        <v>113.66666667</v>
      </c>
      <c r="D7" s="2">
        <v>43.174533332999999</v>
      </c>
      <c r="E7" s="11">
        <v>106</v>
      </c>
      <c r="F7" s="10">
        <v>4.7298317728999999</v>
      </c>
      <c r="G7" s="2">
        <v>21.16</v>
      </c>
      <c r="H7" s="2">
        <v>84.666666667000001</v>
      </c>
      <c r="I7" s="2">
        <v>6.6</v>
      </c>
      <c r="J7" s="2">
        <v>2.3333333333000001</v>
      </c>
      <c r="K7" s="11">
        <v>270</v>
      </c>
      <c r="L7" s="3" t="s">
        <v>61</v>
      </c>
      <c r="M7" s="11" t="s">
        <v>68</v>
      </c>
      <c r="N7" s="3" t="s">
        <v>3</v>
      </c>
    </row>
    <row r="8" spans="1:15" x14ac:dyDescent="0.25">
      <c r="A8" s="11" t="s">
        <v>8</v>
      </c>
      <c r="B8" s="2">
        <v>188.66666667000001</v>
      </c>
      <c r="C8" s="2">
        <v>155.66666667000001</v>
      </c>
      <c r="D8" s="2">
        <v>40</v>
      </c>
      <c r="E8" s="11">
        <v>117</v>
      </c>
      <c r="F8" s="10">
        <v>5.0359742396999998</v>
      </c>
      <c r="G8" s="2">
        <v>27.97</v>
      </c>
      <c r="H8" s="2">
        <v>87</v>
      </c>
      <c r="I8" s="2">
        <v>18</v>
      </c>
      <c r="J8" s="2">
        <v>12.333333333000001</v>
      </c>
      <c r="K8" s="11">
        <v>327</v>
      </c>
      <c r="L8" s="3" t="s">
        <v>65</v>
      </c>
      <c r="M8" s="11" t="s">
        <v>70</v>
      </c>
      <c r="N8" s="3" t="s">
        <v>3</v>
      </c>
    </row>
    <row r="9" spans="1:15" x14ac:dyDescent="0.25">
      <c r="A9" s="11" t="s">
        <v>8</v>
      </c>
      <c r="B9" s="2">
        <v>207</v>
      </c>
      <c r="C9" s="2">
        <v>541</v>
      </c>
      <c r="D9" s="2">
        <v>25.666666667000001</v>
      </c>
      <c r="E9" s="11">
        <v>98</v>
      </c>
      <c r="F9" s="10">
        <v>6.2429291446999997</v>
      </c>
      <c r="G9" s="2">
        <v>26.63</v>
      </c>
      <c r="H9" s="2">
        <v>170</v>
      </c>
      <c r="I9" s="2">
        <v>10.5</v>
      </c>
      <c r="J9" s="2">
        <v>4.3333333332999997</v>
      </c>
      <c r="K9" s="11">
        <v>273</v>
      </c>
      <c r="L9" s="3" t="s">
        <v>65</v>
      </c>
      <c r="M9" s="11" t="s">
        <v>68</v>
      </c>
      <c r="N9" s="3" t="s">
        <v>2</v>
      </c>
    </row>
    <row r="10" spans="1:15" x14ac:dyDescent="0.25">
      <c r="A10" s="11" t="s">
        <v>8</v>
      </c>
      <c r="B10" s="2">
        <v>208.33333332999999</v>
      </c>
      <c r="C10" s="2">
        <v>193.33333332999999</v>
      </c>
      <c r="D10" s="2">
        <v>43.666666667000001</v>
      </c>
      <c r="E10" s="11">
        <v>126</v>
      </c>
      <c r="F10" s="10">
        <v>5.2161938634</v>
      </c>
      <c r="G10" s="2">
        <v>29.63</v>
      </c>
      <c r="H10" s="2">
        <v>98.333333332999999</v>
      </c>
      <c r="I10" s="2">
        <v>13.5</v>
      </c>
      <c r="J10" s="2">
        <v>10</v>
      </c>
      <c r="K10" s="11">
        <v>230</v>
      </c>
      <c r="L10" s="3" t="s">
        <v>65</v>
      </c>
      <c r="M10" s="11" t="s">
        <v>69</v>
      </c>
      <c r="N10" s="3" t="s">
        <v>3</v>
      </c>
    </row>
    <row r="11" spans="1:15" x14ac:dyDescent="0.25">
      <c r="A11" s="11" t="s">
        <v>8</v>
      </c>
      <c r="B11" s="2">
        <v>143.33333332999999</v>
      </c>
      <c r="C11" s="2">
        <v>114.33333333</v>
      </c>
      <c r="D11" s="2">
        <v>30.841200000000001</v>
      </c>
      <c r="E11" s="11">
        <v>88</v>
      </c>
      <c r="F11" s="10">
        <v>4.7312718261000004</v>
      </c>
      <c r="G11" s="2">
        <v>23.68</v>
      </c>
      <c r="H11" s="2">
        <v>90</v>
      </c>
      <c r="I11" s="2">
        <v>12</v>
      </c>
      <c r="J11" s="2">
        <v>2.6666666666999999</v>
      </c>
      <c r="K11" s="11">
        <v>292</v>
      </c>
      <c r="L11" s="3" t="s">
        <v>61</v>
      </c>
      <c r="M11" s="11" t="s">
        <v>69</v>
      </c>
      <c r="N11" s="3" t="s">
        <v>3</v>
      </c>
    </row>
    <row r="12" spans="1:15" x14ac:dyDescent="0.25">
      <c r="A12" s="11" t="s">
        <v>8</v>
      </c>
      <c r="B12" s="2">
        <v>165</v>
      </c>
      <c r="C12" s="2">
        <v>122.33333333</v>
      </c>
      <c r="D12" s="2">
        <v>40.507866667000002</v>
      </c>
      <c r="E12" s="11">
        <v>99</v>
      </c>
      <c r="F12" s="10">
        <v>4.8020311034000001</v>
      </c>
      <c r="G12" s="2">
        <v>22.8</v>
      </c>
      <c r="H12" s="2">
        <v>99</v>
      </c>
      <c r="I12" s="2">
        <v>13.8</v>
      </c>
      <c r="J12" s="2">
        <v>16.666666667000001</v>
      </c>
      <c r="K12" s="11">
        <v>350</v>
      </c>
      <c r="L12" s="3" t="s">
        <v>61</v>
      </c>
      <c r="M12" s="11" t="s">
        <v>68</v>
      </c>
      <c r="N12" s="3" t="s">
        <v>3</v>
      </c>
    </row>
    <row r="13" spans="1:15" x14ac:dyDescent="0.25">
      <c r="A13" s="11" t="s">
        <v>8</v>
      </c>
      <c r="B13" s="2">
        <v>207</v>
      </c>
      <c r="C13" s="2">
        <v>149.33333332999999</v>
      </c>
      <c r="D13" s="2">
        <v>44.333333332999999</v>
      </c>
      <c r="E13" s="11">
        <v>133</v>
      </c>
      <c r="F13" s="10">
        <v>4.9969868077999999</v>
      </c>
      <c r="G13" s="2">
        <v>22.68</v>
      </c>
      <c r="H13" s="2">
        <v>91.666666667000001</v>
      </c>
      <c r="I13" s="2">
        <v>20.3</v>
      </c>
      <c r="J13" s="2">
        <v>5</v>
      </c>
      <c r="K13" s="11">
        <v>206</v>
      </c>
      <c r="L13" s="3" t="s">
        <v>61</v>
      </c>
      <c r="M13" s="11" t="s">
        <v>69</v>
      </c>
      <c r="N13" s="3" t="s">
        <v>3</v>
      </c>
    </row>
    <row r="14" spans="1:15" x14ac:dyDescent="0.25">
      <c r="A14" s="11" t="s">
        <v>8</v>
      </c>
      <c r="B14" s="2">
        <v>190.33333332999999</v>
      </c>
      <c r="C14" s="2">
        <v>123</v>
      </c>
      <c r="D14" s="2">
        <v>39</v>
      </c>
      <c r="E14" s="11">
        <v>127</v>
      </c>
      <c r="F14" s="10">
        <v>4.7688194233000001</v>
      </c>
      <c r="G14" s="2">
        <v>23.38</v>
      </c>
      <c r="H14" s="2">
        <v>83.333333332999999</v>
      </c>
      <c r="I14" s="2">
        <v>8.6</v>
      </c>
      <c r="J14" s="2">
        <v>32.666666667000001</v>
      </c>
      <c r="K14" s="11">
        <v>258</v>
      </c>
      <c r="L14" s="3" t="s">
        <v>61</v>
      </c>
      <c r="M14" s="11" t="s">
        <v>68</v>
      </c>
      <c r="N14" s="3" t="s">
        <v>3</v>
      </c>
    </row>
    <row r="15" spans="1:15" x14ac:dyDescent="0.25">
      <c r="A15" s="11" t="s">
        <v>8</v>
      </c>
      <c r="B15" s="2">
        <v>154</v>
      </c>
      <c r="C15" s="2">
        <v>110.33333333</v>
      </c>
      <c r="D15" s="2">
        <v>31</v>
      </c>
      <c r="E15" s="11">
        <v>101</v>
      </c>
      <c r="F15" s="10">
        <v>4.6977557622999999</v>
      </c>
      <c r="G15" s="2">
        <v>33</v>
      </c>
      <c r="H15" s="2">
        <v>83.333333332999999</v>
      </c>
      <c r="I15" s="2">
        <v>17.8</v>
      </c>
      <c r="J15" s="2">
        <v>4.6666666667000003</v>
      </c>
      <c r="K15" s="11">
        <v>294</v>
      </c>
      <c r="L15" s="3" t="s">
        <v>62</v>
      </c>
      <c r="M15" s="11" t="s">
        <v>68</v>
      </c>
      <c r="N15" s="3" t="s">
        <v>3</v>
      </c>
    </row>
    <row r="16" spans="1:15" x14ac:dyDescent="0.25">
      <c r="A16" s="11" t="s">
        <v>8</v>
      </c>
      <c r="B16" s="2">
        <v>220.33333332999999</v>
      </c>
      <c r="C16" s="2">
        <v>198.66666667000001</v>
      </c>
      <c r="D16" s="2">
        <v>49.507866667000002</v>
      </c>
      <c r="E16" s="11">
        <v>130</v>
      </c>
      <c r="F16" s="10">
        <v>5.2899464663</v>
      </c>
      <c r="G16" s="2">
        <v>32.51</v>
      </c>
      <c r="H16" s="2">
        <v>96.333333332999999</v>
      </c>
      <c r="I16" s="2">
        <v>24.8</v>
      </c>
      <c r="J16" s="2">
        <v>29.666666667000001</v>
      </c>
      <c r="K16" s="11">
        <v>315</v>
      </c>
      <c r="L16" s="3" t="s">
        <v>62</v>
      </c>
      <c r="M16" s="11" t="s">
        <v>70</v>
      </c>
      <c r="N16" s="3" t="s">
        <v>3</v>
      </c>
    </row>
    <row r="17" spans="1:14" x14ac:dyDescent="0.25">
      <c r="A17" s="11" t="s">
        <v>8</v>
      </c>
      <c r="B17" s="2">
        <v>166.66666667000001</v>
      </c>
      <c r="C17" s="2">
        <v>111.66666667</v>
      </c>
      <c r="D17" s="2">
        <v>34.507866667000002</v>
      </c>
      <c r="E17" s="11">
        <v>109</v>
      </c>
      <c r="F17" s="10">
        <v>4.7154030051999998</v>
      </c>
      <c r="G17" s="2">
        <v>30.52</v>
      </c>
      <c r="H17" s="2">
        <v>100.33333333</v>
      </c>
      <c r="I17" s="2">
        <v>15.1</v>
      </c>
      <c r="J17" s="2">
        <v>18.666666667000001</v>
      </c>
      <c r="K17" s="11">
        <v>286</v>
      </c>
      <c r="L17" s="3" t="s">
        <v>62</v>
      </c>
      <c r="M17" s="11" t="s">
        <v>68</v>
      </c>
      <c r="N17" s="3" t="s">
        <v>3</v>
      </c>
    </row>
    <row r="18" spans="1:14" x14ac:dyDescent="0.25">
      <c r="A18" s="11" t="s">
        <v>8</v>
      </c>
      <c r="B18" s="2">
        <v>208.66666667000001</v>
      </c>
      <c r="C18" s="2">
        <v>84</v>
      </c>
      <c r="D18" s="2">
        <v>34.333333332999999</v>
      </c>
      <c r="E18" s="11">
        <v>158</v>
      </c>
      <c r="F18" s="10">
        <v>4.3811644965000003</v>
      </c>
      <c r="G18" s="2">
        <v>24.6</v>
      </c>
      <c r="H18" s="2">
        <v>97.333333332999999</v>
      </c>
      <c r="I18" s="2">
        <v>5.0999999999999996</v>
      </c>
      <c r="J18" s="2">
        <v>47</v>
      </c>
      <c r="K18" s="11">
        <v>311</v>
      </c>
      <c r="L18" s="3" t="s">
        <v>61</v>
      </c>
      <c r="M18" s="11" t="s">
        <v>69</v>
      </c>
      <c r="N18" s="3" t="s">
        <v>3</v>
      </c>
    </row>
    <row r="19" spans="1:14" x14ac:dyDescent="0.25">
      <c r="A19" s="11" t="s">
        <v>8</v>
      </c>
      <c r="B19" s="2">
        <v>149.66666667000001</v>
      </c>
      <c r="C19" s="2">
        <v>74</v>
      </c>
      <c r="D19" s="2">
        <v>43.333333332999999</v>
      </c>
      <c r="E19" s="11">
        <v>92</v>
      </c>
      <c r="F19" s="10">
        <v>4.28</v>
      </c>
      <c r="G19" s="2">
        <v>28.73</v>
      </c>
      <c r="H19" s="2">
        <v>100.66666667</v>
      </c>
      <c r="I19" s="2">
        <v>8.6</v>
      </c>
      <c r="J19" s="2">
        <v>4</v>
      </c>
      <c r="K19" s="11">
        <v>301</v>
      </c>
      <c r="L19" s="3" t="s">
        <v>65</v>
      </c>
      <c r="M19" s="11" t="s">
        <v>70</v>
      </c>
      <c r="N19" s="3" t="s">
        <v>3</v>
      </c>
    </row>
    <row r="20" spans="1:14" x14ac:dyDescent="0.25">
      <c r="A20" s="11" t="s">
        <v>8</v>
      </c>
      <c r="B20" s="2">
        <v>181.66666667000001</v>
      </c>
      <c r="C20" s="2">
        <v>70.666666667000001</v>
      </c>
      <c r="D20" s="2">
        <v>47.666666667000001</v>
      </c>
      <c r="E20" s="11">
        <v>120</v>
      </c>
      <c r="F20" s="10">
        <v>4.2536926069999996</v>
      </c>
      <c r="G20" s="2">
        <v>26.59</v>
      </c>
      <c r="H20" s="2">
        <v>84.666666667000001</v>
      </c>
      <c r="I20" s="2">
        <v>16.8</v>
      </c>
      <c r="J20" s="2">
        <v>40.333333332999999</v>
      </c>
      <c r="K20" s="11">
        <v>263</v>
      </c>
      <c r="L20" s="3" t="s">
        <v>65</v>
      </c>
      <c r="M20" s="11" t="s">
        <v>68</v>
      </c>
      <c r="N20" s="3" t="s">
        <v>3</v>
      </c>
    </row>
    <row r="21" spans="1:14" x14ac:dyDescent="0.25">
      <c r="A21" s="11" t="s">
        <v>8</v>
      </c>
      <c r="B21" s="2">
        <v>168.33333332999999</v>
      </c>
      <c r="C21" s="2">
        <v>78.666666667000001</v>
      </c>
      <c r="D21" s="2">
        <v>30.666666667000001</v>
      </c>
      <c r="E21" s="11">
        <v>122</v>
      </c>
      <c r="F21" s="10">
        <v>4.3085799917000003</v>
      </c>
      <c r="G21" s="2">
        <v>25.91</v>
      </c>
      <c r="H21" s="2">
        <v>90</v>
      </c>
      <c r="I21" s="2">
        <v>7.9</v>
      </c>
      <c r="J21" s="2">
        <v>11</v>
      </c>
      <c r="K21" s="11">
        <v>244</v>
      </c>
      <c r="L21" s="3" t="s">
        <v>65</v>
      </c>
      <c r="M21" s="11" t="s">
        <v>69</v>
      </c>
      <c r="N21" s="3" t="s">
        <v>3</v>
      </c>
    </row>
    <row r="22" spans="1:14" x14ac:dyDescent="0.25">
      <c r="A22" s="11" t="s">
        <v>8</v>
      </c>
      <c r="B22" s="2">
        <v>186</v>
      </c>
      <c r="C22" s="2">
        <v>104.66666667</v>
      </c>
      <c r="D22" s="2">
        <v>74.333333332999999</v>
      </c>
      <c r="E22" s="11">
        <v>91</v>
      </c>
      <c r="F22" s="10">
        <v>4.6057749601999998</v>
      </c>
      <c r="G22" s="2">
        <v>28.23</v>
      </c>
      <c r="H22" s="2">
        <v>73</v>
      </c>
      <c r="I22" s="2">
        <v>2.8</v>
      </c>
      <c r="J22" s="2">
        <v>1</v>
      </c>
      <c r="K22" s="11">
        <v>257</v>
      </c>
      <c r="L22" s="3" t="s">
        <v>65</v>
      </c>
      <c r="M22" s="11" t="s">
        <v>70</v>
      </c>
      <c r="N22" s="3" t="s">
        <v>3</v>
      </c>
    </row>
    <row r="23" spans="1:14" x14ac:dyDescent="0.25">
      <c r="A23" s="11" t="s">
        <v>8</v>
      </c>
      <c r="B23" s="2">
        <v>154.33333332999999</v>
      </c>
      <c r="C23" s="2">
        <v>266.66666666999998</v>
      </c>
      <c r="D23" s="2">
        <v>22</v>
      </c>
      <c r="E23" s="11">
        <v>79</v>
      </c>
      <c r="F23" s="10">
        <f>LN(C23)</f>
        <v>5.5859994390123173</v>
      </c>
      <c r="G23" s="2">
        <v>22.37</v>
      </c>
      <c r="H23" s="2">
        <v>87.666666667000001</v>
      </c>
      <c r="I23" s="2">
        <v>9</v>
      </c>
      <c r="J23" s="2">
        <v>3.3333333333000001</v>
      </c>
      <c r="K23" s="11">
        <v>365</v>
      </c>
      <c r="L23" s="3" t="s">
        <v>61</v>
      </c>
      <c r="M23" s="11" t="s">
        <v>69</v>
      </c>
      <c r="N23" s="3" t="s">
        <v>3</v>
      </c>
    </row>
    <row r="24" spans="1:14" x14ac:dyDescent="0.25">
      <c r="A24" s="11" t="s">
        <v>8</v>
      </c>
      <c r="B24" s="2">
        <v>188.33333332999999</v>
      </c>
      <c r="C24" s="2">
        <v>143.33333332999999</v>
      </c>
      <c r="D24" s="2">
        <v>38</v>
      </c>
      <c r="E24" s="11">
        <v>122</v>
      </c>
      <c r="F24" s="10">
        <v>4.9619626558999999</v>
      </c>
      <c r="G24" s="2">
        <v>36.840000000000003</v>
      </c>
      <c r="H24" s="2">
        <v>97</v>
      </c>
      <c r="I24" s="2">
        <v>14.4</v>
      </c>
      <c r="J24" s="2">
        <v>1</v>
      </c>
      <c r="K24" s="11">
        <v>316</v>
      </c>
      <c r="L24" s="3" t="s">
        <v>62</v>
      </c>
      <c r="M24" s="11" t="s">
        <v>70</v>
      </c>
      <c r="N24" s="3" t="s">
        <v>2</v>
      </c>
    </row>
    <row r="25" spans="1:14" x14ac:dyDescent="0.25">
      <c r="A25" s="11" t="s">
        <v>8</v>
      </c>
      <c r="B25" s="2">
        <v>186</v>
      </c>
      <c r="C25" s="2">
        <v>119.66666667</v>
      </c>
      <c r="D25" s="2">
        <v>48.333333332999999</v>
      </c>
      <c r="E25" s="11">
        <v>114</v>
      </c>
      <c r="F25" s="10">
        <v>4.7641748523</v>
      </c>
      <c r="G25" s="2">
        <v>33.159999999999997</v>
      </c>
      <c r="H25" s="2">
        <v>109</v>
      </c>
      <c r="I25" s="2">
        <v>16.5</v>
      </c>
      <c r="J25" s="2">
        <v>4.6666666667000003</v>
      </c>
      <c r="K25" s="11">
        <v>356</v>
      </c>
      <c r="L25" s="3" t="s">
        <v>62</v>
      </c>
      <c r="M25" s="11" t="s">
        <v>68</v>
      </c>
      <c r="N25" s="3" t="s">
        <v>2</v>
      </c>
    </row>
    <row r="26" spans="1:14" x14ac:dyDescent="0.25">
      <c r="A26" s="11" t="s">
        <v>8</v>
      </c>
      <c r="B26" s="2">
        <v>192</v>
      </c>
      <c r="C26" s="2">
        <v>89.333333332999999</v>
      </c>
      <c r="D26" s="2">
        <v>35.174533332999999</v>
      </c>
      <c r="E26" s="11">
        <v>138</v>
      </c>
      <c r="F26" s="10">
        <v>4.4809224019</v>
      </c>
      <c r="G26" s="2">
        <v>22.2</v>
      </c>
      <c r="H26" s="2">
        <v>93</v>
      </c>
      <c r="I26" s="2">
        <v>5.8</v>
      </c>
      <c r="J26" s="2">
        <v>56.333333332999999</v>
      </c>
      <c r="K26" s="11">
        <v>247</v>
      </c>
      <c r="L26" s="3" t="s">
        <v>61</v>
      </c>
      <c r="M26" s="11" t="s">
        <v>69</v>
      </c>
      <c r="N26" s="3" t="s">
        <v>3</v>
      </c>
    </row>
    <row r="27" spans="1:14" x14ac:dyDescent="0.25">
      <c r="A27" s="11" t="s">
        <v>8</v>
      </c>
      <c r="B27" s="2">
        <v>166.66666667000001</v>
      </c>
      <c r="C27" s="2">
        <v>93.666666667000001</v>
      </c>
      <c r="D27" s="2">
        <v>33.174533332999999</v>
      </c>
      <c r="E27" s="11">
        <v>113</v>
      </c>
      <c r="F27" s="10">
        <v>4.5358154958999997</v>
      </c>
      <c r="G27" s="2">
        <v>25.94</v>
      </c>
      <c r="H27" s="2">
        <v>90.333333332999999</v>
      </c>
      <c r="I27" s="2">
        <v>10.8</v>
      </c>
      <c r="J27" s="2">
        <v>4.3333333332999997</v>
      </c>
      <c r="K27" s="11">
        <v>311</v>
      </c>
      <c r="L27" s="3" t="s">
        <v>65</v>
      </c>
      <c r="M27" s="11" t="s">
        <v>68</v>
      </c>
      <c r="N27" s="3" t="s">
        <v>3</v>
      </c>
    </row>
    <row r="28" spans="1:14" x14ac:dyDescent="0.25">
      <c r="A28" s="11" t="s">
        <v>8</v>
      </c>
      <c r="B28" s="2">
        <v>235.33333332999999</v>
      </c>
      <c r="C28" s="2">
        <v>116.66666667</v>
      </c>
      <c r="D28" s="2">
        <v>32</v>
      </c>
      <c r="E28" s="11">
        <v>180</v>
      </c>
      <c r="F28" s="10">
        <v>4.7387481639000004</v>
      </c>
      <c r="G28" s="2">
        <v>33.57</v>
      </c>
      <c r="H28" s="2">
        <v>109.66666667</v>
      </c>
      <c r="I28" s="2">
        <v>18.5</v>
      </c>
      <c r="J28" s="2">
        <v>1</v>
      </c>
      <c r="K28" s="11">
        <v>289</v>
      </c>
      <c r="L28" s="3" t="s">
        <v>62</v>
      </c>
      <c r="M28" s="11" t="s">
        <v>70</v>
      </c>
      <c r="N28" s="3" t="s">
        <v>3</v>
      </c>
    </row>
    <row r="29" spans="1:14" x14ac:dyDescent="0.25">
      <c r="A29" s="11" t="s">
        <v>8</v>
      </c>
      <c r="B29" s="2">
        <v>183</v>
      </c>
      <c r="C29" s="2">
        <v>159.66666667000001</v>
      </c>
      <c r="D29" s="2">
        <v>35.841200000000001</v>
      </c>
      <c r="E29" s="11">
        <v>114</v>
      </c>
      <c r="F29" s="10">
        <v>5.0649831580000004</v>
      </c>
      <c r="G29" s="2">
        <v>27.81</v>
      </c>
      <c r="H29" s="2">
        <v>89.333333332999999</v>
      </c>
      <c r="I29" s="2">
        <v>12.7</v>
      </c>
      <c r="J29" s="2">
        <v>1</v>
      </c>
      <c r="K29" s="11">
        <v>293</v>
      </c>
      <c r="L29" s="3" t="s">
        <v>65</v>
      </c>
      <c r="M29" s="11" t="s">
        <v>69</v>
      </c>
      <c r="N29" s="3" t="s">
        <v>3</v>
      </c>
    </row>
    <row r="30" spans="1:14" x14ac:dyDescent="0.25">
      <c r="A30" s="11" t="s">
        <v>8</v>
      </c>
      <c r="B30" s="2">
        <v>174.33333332999999</v>
      </c>
      <c r="C30" s="2">
        <v>89.333333332999999</v>
      </c>
      <c r="D30" s="2">
        <v>29</v>
      </c>
      <c r="E30" s="11">
        <v>127</v>
      </c>
      <c r="F30" s="10">
        <v>4.4441318671000003</v>
      </c>
      <c r="G30" s="2">
        <v>29.92</v>
      </c>
      <c r="H30" s="2">
        <v>88</v>
      </c>
      <c r="I30" s="2">
        <v>11.4</v>
      </c>
      <c r="J30" s="2">
        <v>24.333333332999999</v>
      </c>
      <c r="K30" s="11">
        <v>264</v>
      </c>
      <c r="L30" s="3" t="s">
        <v>65</v>
      </c>
      <c r="M30" s="11" t="s">
        <v>70</v>
      </c>
      <c r="N30" s="3" t="s">
        <v>3</v>
      </c>
    </row>
    <row r="31" spans="1:14" x14ac:dyDescent="0.25">
      <c r="A31" s="11" t="s">
        <v>8</v>
      </c>
      <c r="B31" s="2">
        <v>151.33333332999999</v>
      </c>
      <c r="C31" s="2">
        <v>85</v>
      </c>
      <c r="D31" s="2">
        <v>33.174533332999999</v>
      </c>
      <c r="E31" s="11">
        <v>100</v>
      </c>
      <c r="F31" s="10">
        <v>4.4372317680000002</v>
      </c>
      <c r="G31" s="2">
        <v>31.52</v>
      </c>
      <c r="H31" s="2">
        <v>99.666666667000001</v>
      </c>
      <c r="I31" s="2">
        <v>10.1</v>
      </c>
      <c r="J31" s="2">
        <v>1</v>
      </c>
      <c r="K31" s="11">
        <v>290</v>
      </c>
      <c r="L31" s="3" t="s">
        <v>62</v>
      </c>
      <c r="M31" s="11" t="s">
        <v>70</v>
      </c>
      <c r="N31" s="3" t="s">
        <v>3</v>
      </c>
    </row>
    <row r="32" spans="1:14" x14ac:dyDescent="0.25">
      <c r="A32" s="11" t="s">
        <v>8</v>
      </c>
      <c r="B32" s="2">
        <v>218</v>
      </c>
      <c r="C32" s="2">
        <v>323.66666666999998</v>
      </c>
      <c r="D32" s="2">
        <v>27.333333332999999</v>
      </c>
      <c r="E32" s="11">
        <v>126</v>
      </c>
      <c r="F32" s="10">
        <v>5.7790413167999999</v>
      </c>
      <c r="G32" s="2">
        <v>26.84</v>
      </c>
      <c r="H32" s="2">
        <v>95.666666667000001</v>
      </c>
      <c r="I32" s="2">
        <v>19.399999999999999</v>
      </c>
      <c r="J32" s="2">
        <v>1</v>
      </c>
      <c r="K32" s="11">
        <v>229</v>
      </c>
      <c r="L32" s="3" t="s">
        <v>65</v>
      </c>
      <c r="M32" s="11" t="s">
        <v>68</v>
      </c>
      <c r="N32" s="3" t="s">
        <v>3</v>
      </c>
    </row>
    <row r="33" spans="1:14" x14ac:dyDescent="0.25">
      <c r="A33" s="11" t="s">
        <v>8</v>
      </c>
      <c r="B33" s="2">
        <v>140</v>
      </c>
      <c r="C33" s="2">
        <v>79.333333332999999</v>
      </c>
      <c r="D33" s="2">
        <v>33.666666667000001</v>
      </c>
      <c r="E33" s="11">
        <v>90</v>
      </c>
      <c r="F33" s="10">
        <v>4.3691915200000002</v>
      </c>
      <c r="G33" s="2">
        <v>25.69</v>
      </c>
      <c r="H33" s="2">
        <v>76</v>
      </c>
      <c r="I33" s="2">
        <v>13.3</v>
      </c>
      <c r="J33" s="2">
        <v>10.333333333000001</v>
      </c>
      <c r="K33" s="11">
        <v>207</v>
      </c>
      <c r="L33" s="3" t="s">
        <v>65</v>
      </c>
      <c r="M33" s="11" t="s">
        <v>69</v>
      </c>
      <c r="N33" s="3" t="s">
        <v>3</v>
      </c>
    </row>
    <row r="34" spans="1:14" x14ac:dyDescent="0.25">
      <c r="A34" s="11" t="s">
        <v>8</v>
      </c>
      <c r="B34" s="2">
        <v>187.33333332999999</v>
      </c>
      <c r="C34" s="2">
        <v>102.33333333</v>
      </c>
      <c r="D34" s="2">
        <v>33.666666667000001</v>
      </c>
      <c r="E34" s="11">
        <v>133</v>
      </c>
      <c r="F34" s="10">
        <v>4.6171663768000002</v>
      </c>
      <c r="G34" s="2">
        <v>32.96</v>
      </c>
      <c r="H34" s="2">
        <v>96.333333332999999</v>
      </c>
      <c r="I34" s="2">
        <v>5.8</v>
      </c>
      <c r="J34" s="2">
        <v>1</v>
      </c>
      <c r="K34" s="11">
        <v>307</v>
      </c>
      <c r="L34" s="3" t="s">
        <v>62</v>
      </c>
      <c r="M34" s="11" t="s">
        <v>68</v>
      </c>
      <c r="N34" s="3" t="s">
        <v>2</v>
      </c>
    </row>
    <row r="35" spans="1:14" x14ac:dyDescent="0.25">
      <c r="A35" s="11" t="s">
        <v>8</v>
      </c>
      <c r="B35" s="2">
        <v>200.33333332999999</v>
      </c>
      <c r="C35" s="2">
        <v>75.333333332999999</v>
      </c>
      <c r="D35" s="2">
        <v>43.333333332999999</v>
      </c>
      <c r="E35" s="11">
        <v>142</v>
      </c>
      <c r="F35" s="10">
        <v>4.29</v>
      </c>
      <c r="G35" s="2">
        <v>33.880000000000003</v>
      </c>
      <c r="H35" s="2">
        <v>98</v>
      </c>
      <c r="I35" s="2">
        <v>20.3</v>
      </c>
      <c r="J35" s="2">
        <v>2.3333333333000001</v>
      </c>
      <c r="K35" s="11">
        <v>253</v>
      </c>
      <c r="L35" s="3" t="s">
        <v>62</v>
      </c>
      <c r="M35" s="11" t="s">
        <v>68</v>
      </c>
      <c r="N35" s="3" t="s">
        <v>3</v>
      </c>
    </row>
    <row r="36" spans="1:14" x14ac:dyDescent="0.25">
      <c r="A36" s="11" t="s">
        <v>8</v>
      </c>
      <c r="B36" s="2">
        <v>231</v>
      </c>
      <c r="C36" s="2">
        <v>233.66666667000001</v>
      </c>
      <c r="D36" s="2">
        <v>52.507866667000002</v>
      </c>
      <c r="E36" s="11">
        <v>131</v>
      </c>
      <c r="F36" s="10">
        <v>5.4493207175</v>
      </c>
      <c r="G36" s="2">
        <v>24.01</v>
      </c>
      <c r="H36" s="2">
        <v>83.333333332999999</v>
      </c>
      <c r="I36" s="2">
        <v>10.5</v>
      </c>
      <c r="J36" s="2">
        <v>2</v>
      </c>
      <c r="K36" s="11">
        <v>310</v>
      </c>
      <c r="L36" s="3" t="s">
        <v>61</v>
      </c>
      <c r="M36" s="11" t="s">
        <v>69</v>
      </c>
      <c r="N36" s="3" t="s">
        <v>3</v>
      </c>
    </row>
    <row r="37" spans="1:14" x14ac:dyDescent="0.25">
      <c r="A37" s="11" t="s">
        <v>8</v>
      </c>
      <c r="B37" s="2">
        <v>201</v>
      </c>
      <c r="C37" s="2">
        <v>185.66666667000001</v>
      </c>
      <c r="D37" s="2">
        <v>31.174533332999999</v>
      </c>
      <c r="E37" s="11">
        <v>131</v>
      </c>
      <c r="F37" s="10">
        <v>5.2190116513999998</v>
      </c>
      <c r="G37" s="2">
        <v>35.15</v>
      </c>
      <c r="H37" s="2">
        <v>85.333333332999999</v>
      </c>
      <c r="I37" s="2">
        <v>7.5</v>
      </c>
      <c r="J37" s="2">
        <v>20</v>
      </c>
      <c r="K37" s="11">
        <v>383</v>
      </c>
      <c r="L37" s="3" t="s">
        <v>62</v>
      </c>
      <c r="M37" s="11" t="s">
        <v>68</v>
      </c>
      <c r="N37" s="3" t="s">
        <v>2</v>
      </c>
    </row>
    <row r="38" spans="1:14" x14ac:dyDescent="0.25">
      <c r="A38" s="11" t="s">
        <v>8</v>
      </c>
      <c r="B38" s="2">
        <v>204.33333332999999</v>
      </c>
      <c r="C38" s="2">
        <v>76.666666667000001</v>
      </c>
      <c r="D38" s="2">
        <v>50</v>
      </c>
      <c r="E38" s="11">
        <v>139</v>
      </c>
      <c r="F38" s="10">
        <v>4.3362429084</v>
      </c>
      <c r="G38" s="2">
        <v>30.45</v>
      </c>
      <c r="H38" s="2">
        <v>91.333333332999999</v>
      </c>
      <c r="I38" s="2">
        <v>9.1</v>
      </c>
      <c r="J38" s="2">
        <v>12.333333333000001</v>
      </c>
      <c r="K38" s="11">
        <v>329</v>
      </c>
      <c r="L38" s="3" t="s">
        <v>62</v>
      </c>
      <c r="M38" s="11" t="s">
        <v>68</v>
      </c>
      <c r="N38" s="3" t="s">
        <v>3</v>
      </c>
    </row>
    <row r="39" spans="1:14" x14ac:dyDescent="0.25">
      <c r="A39" s="11" t="s">
        <v>8</v>
      </c>
      <c r="B39" s="2">
        <v>180</v>
      </c>
      <c r="C39" s="2">
        <v>126</v>
      </c>
      <c r="D39" s="2">
        <v>51.333333332999999</v>
      </c>
      <c r="E39" s="11">
        <v>103</v>
      </c>
      <c r="F39" s="10">
        <v>4.7895561670999998</v>
      </c>
      <c r="G39" s="2">
        <v>20.059999999999999</v>
      </c>
      <c r="H39" s="2">
        <v>76.333333332999999</v>
      </c>
      <c r="I39" s="2">
        <v>6.2</v>
      </c>
      <c r="J39" s="2">
        <v>15.333333333000001</v>
      </c>
      <c r="K39" s="11">
        <v>224</v>
      </c>
      <c r="L39" s="3" t="s">
        <v>61</v>
      </c>
      <c r="M39" s="11" t="s">
        <v>69</v>
      </c>
      <c r="N39" s="3" t="s">
        <v>3</v>
      </c>
    </row>
    <row r="40" spans="1:14" x14ac:dyDescent="0.25">
      <c r="A40" s="11" t="s">
        <v>8</v>
      </c>
      <c r="B40" s="2">
        <v>167.66666667000001</v>
      </c>
      <c r="C40" s="2">
        <v>103.33333333</v>
      </c>
      <c r="D40" s="2">
        <v>52.666666667000001</v>
      </c>
      <c r="E40" s="11">
        <v>94</v>
      </c>
      <c r="F40" s="10">
        <v>4.6275286195999996</v>
      </c>
      <c r="G40" s="2">
        <v>25.88</v>
      </c>
      <c r="H40" s="2">
        <v>95</v>
      </c>
      <c r="I40" s="2">
        <v>8.6</v>
      </c>
      <c r="J40" s="2">
        <v>7.3333333332999997</v>
      </c>
      <c r="K40" s="11">
        <v>311</v>
      </c>
      <c r="L40" s="3" t="s">
        <v>65</v>
      </c>
      <c r="M40" s="11" t="s">
        <v>70</v>
      </c>
      <c r="N40" s="3" t="s">
        <v>3</v>
      </c>
    </row>
    <row r="41" spans="1:14" x14ac:dyDescent="0.25">
      <c r="A41" s="11" t="s">
        <v>8</v>
      </c>
      <c r="B41" s="2">
        <v>229.66666667000001</v>
      </c>
      <c r="C41" s="2">
        <v>194.66666667000001</v>
      </c>
      <c r="D41" s="2">
        <v>38.333333332999999</v>
      </c>
      <c r="E41" s="11">
        <v>152</v>
      </c>
      <c r="F41" s="10">
        <v>5.2212404391999998</v>
      </c>
      <c r="G41" s="2">
        <v>22.71</v>
      </c>
      <c r="H41" s="2">
        <v>93</v>
      </c>
      <c r="I41" s="2">
        <v>12.6</v>
      </c>
      <c r="J41" s="2">
        <v>10.333333333000001</v>
      </c>
      <c r="K41" s="11">
        <v>278</v>
      </c>
      <c r="L41" s="3" t="s">
        <v>61</v>
      </c>
      <c r="M41" s="11" t="s">
        <v>69</v>
      </c>
      <c r="N41" s="3" t="s">
        <v>3</v>
      </c>
    </row>
    <row r="42" spans="1:14" x14ac:dyDescent="0.25">
      <c r="A42" s="11" t="s">
        <v>17</v>
      </c>
      <c r="B42" s="2">
        <v>175.33333332999999</v>
      </c>
      <c r="C42" s="2">
        <v>126.33333333</v>
      </c>
      <c r="D42" s="2">
        <v>35.507866667000002</v>
      </c>
      <c r="E42" s="11">
        <v>113</v>
      </c>
      <c r="F42" s="10">
        <v>4.8344988139999998</v>
      </c>
      <c r="G42" s="2">
        <v>22.05</v>
      </c>
      <c r="H42" s="2">
        <v>82.666666667000001</v>
      </c>
      <c r="I42" s="2">
        <v>6.2</v>
      </c>
      <c r="J42" s="2">
        <v>9</v>
      </c>
      <c r="K42" s="11">
        <v>275</v>
      </c>
      <c r="L42" s="3" t="s">
        <v>61</v>
      </c>
      <c r="M42" s="11" t="s">
        <v>68</v>
      </c>
      <c r="N42" s="3" t="s">
        <v>3</v>
      </c>
    </row>
    <row r="43" spans="1:14" x14ac:dyDescent="0.25">
      <c r="A43" s="11" t="s">
        <v>8</v>
      </c>
      <c r="B43" s="2">
        <v>198.66666667000001</v>
      </c>
      <c r="C43" s="2">
        <v>71</v>
      </c>
      <c r="D43" s="2">
        <v>46.507866667000002</v>
      </c>
      <c r="E43" s="11">
        <v>137</v>
      </c>
      <c r="F43" s="10">
        <v>4.2608681819000003</v>
      </c>
      <c r="G43" s="2">
        <v>28.25</v>
      </c>
      <c r="H43" s="2">
        <v>85.333333332999999</v>
      </c>
      <c r="I43" s="2">
        <v>8.5</v>
      </c>
      <c r="J43" s="2">
        <v>2</v>
      </c>
      <c r="K43" s="11">
        <v>289</v>
      </c>
      <c r="L43" s="3" t="s">
        <v>65</v>
      </c>
      <c r="M43" s="11" t="s">
        <v>68</v>
      </c>
      <c r="N43" s="3" t="s">
        <v>3</v>
      </c>
    </row>
    <row r="44" spans="1:14" x14ac:dyDescent="0.25">
      <c r="A44" s="11" t="s">
        <v>17</v>
      </c>
      <c r="B44" s="2">
        <v>157</v>
      </c>
      <c r="C44" s="2">
        <v>70.333333332999999</v>
      </c>
      <c r="D44" s="2">
        <v>46.333333332999999</v>
      </c>
      <c r="E44" s="11">
        <v>97</v>
      </c>
      <c r="F44" s="10">
        <v>4.2532234537000004</v>
      </c>
      <c r="G44" s="2">
        <v>31.22</v>
      </c>
      <c r="H44" s="2">
        <v>90</v>
      </c>
      <c r="I44" s="2">
        <v>12.5</v>
      </c>
      <c r="J44" s="2">
        <v>36</v>
      </c>
      <c r="K44" s="11">
        <v>374</v>
      </c>
      <c r="L44" s="3" t="s">
        <v>62</v>
      </c>
      <c r="M44" s="11" t="s">
        <v>68</v>
      </c>
      <c r="N44" s="3" t="s">
        <v>3</v>
      </c>
    </row>
    <row r="45" spans="1:14" x14ac:dyDescent="0.25">
      <c r="A45" s="11" t="s">
        <v>17</v>
      </c>
      <c r="B45" s="2">
        <v>209</v>
      </c>
      <c r="C45" s="2">
        <v>88</v>
      </c>
      <c r="D45" s="2">
        <v>61.333333332999999</v>
      </c>
      <c r="E45" s="11">
        <v>130</v>
      </c>
      <c r="F45" s="10">
        <v>4.4738150749000001</v>
      </c>
      <c r="G45" s="2">
        <v>35.909999999999997</v>
      </c>
      <c r="H45" s="2">
        <v>80.333333332999999</v>
      </c>
      <c r="I45" s="2">
        <v>7</v>
      </c>
      <c r="J45" s="2">
        <v>18.666666667000001</v>
      </c>
      <c r="K45" s="11">
        <v>367</v>
      </c>
      <c r="L45" s="3" t="s">
        <v>62</v>
      </c>
      <c r="M45" s="11" t="s">
        <v>70</v>
      </c>
      <c r="N45" s="3" t="s">
        <v>3</v>
      </c>
    </row>
    <row r="46" spans="1:14" x14ac:dyDescent="0.25">
      <c r="A46" s="11" t="s">
        <v>8</v>
      </c>
      <c r="B46" s="2">
        <v>228.33333332999999</v>
      </c>
      <c r="C46" s="2">
        <v>183.66666667000001</v>
      </c>
      <c r="D46" s="2">
        <v>37.666666667000001</v>
      </c>
      <c r="E46" s="11">
        <v>154</v>
      </c>
      <c r="F46" s="10">
        <v>5.1580831530999998</v>
      </c>
      <c r="G46" s="2">
        <v>26.18</v>
      </c>
      <c r="H46" s="2">
        <v>92</v>
      </c>
      <c r="I46" s="2">
        <v>10.6</v>
      </c>
      <c r="J46" s="2">
        <v>3</v>
      </c>
      <c r="K46" s="11">
        <v>291</v>
      </c>
      <c r="L46" s="3" t="s">
        <v>65</v>
      </c>
      <c r="M46" s="11" t="s">
        <v>69</v>
      </c>
      <c r="N46" s="3" t="s">
        <v>3</v>
      </c>
    </row>
    <row r="47" spans="1:14" x14ac:dyDescent="0.25">
      <c r="A47" s="11" t="s">
        <v>17</v>
      </c>
      <c r="B47" s="2">
        <v>191.33333332999999</v>
      </c>
      <c r="C47" s="2">
        <v>124</v>
      </c>
      <c r="D47" s="2">
        <v>38</v>
      </c>
      <c r="E47" s="11">
        <v>128</v>
      </c>
      <c r="F47" s="10">
        <v>4.7708596782999999</v>
      </c>
      <c r="G47" s="2">
        <v>23.06</v>
      </c>
      <c r="H47" s="2">
        <v>90.666666667000001</v>
      </c>
      <c r="I47" s="2">
        <v>12.9</v>
      </c>
      <c r="J47" s="2">
        <v>46</v>
      </c>
      <c r="K47" s="11">
        <v>221</v>
      </c>
      <c r="L47" s="3" t="s">
        <v>61</v>
      </c>
      <c r="M47" s="11" t="s">
        <v>69</v>
      </c>
      <c r="N47" s="3" t="s">
        <v>3</v>
      </c>
    </row>
    <row r="48" spans="1:14" x14ac:dyDescent="0.25">
      <c r="A48" s="11" t="s">
        <v>17</v>
      </c>
      <c r="B48" s="2">
        <v>214</v>
      </c>
      <c r="C48" s="2">
        <v>128</v>
      </c>
      <c r="D48" s="2">
        <v>42.333333332999999</v>
      </c>
      <c r="E48" s="11">
        <v>146</v>
      </c>
      <c r="F48" s="10">
        <v>4.7992677089000004</v>
      </c>
      <c r="G48" s="2">
        <v>27.25</v>
      </c>
      <c r="H48" s="2">
        <v>92</v>
      </c>
      <c r="I48" s="2">
        <v>12.5</v>
      </c>
      <c r="J48" s="2">
        <v>24.666666667000001</v>
      </c>
      <c r="K48" s="11">
        <v>248</v>
      </c>
      <c r="L48" s="3" t="s">
        <v>65</v>
      </c>
      <c r="M48" s="11" t="s">
        <v>70</v>
      </c>
      <c r="N48" s="3" t="s">
        <v>3</v>
      </c>
    </row>
    <row r="49" spans="1:14" x14ac:dyDescent="0.25">
      <c r="A49" s="11" t="s">
        <v>17</v>
      </c>
      <c r="B49" s="2">
        <v>189</v>
      </c>
      <c r="C49" s="2">
        <v>168.33333332999999</v>
      </c>
      <c r="D49" s="2">
        <v>34.666666667000001</v>
      </c>
      <c r="E49" s="11">
        <v>121</v>
      </c>
      <c r="F49" s="10">
        <v>5.1140630921000003</v>
      </c>
      <c r="G49" s="2">
        <v>26.05</v>
      </c>
      <c r="H49" s="2">
        <v>97.333333332999999</v>
      </c>
      <c r="I49" s="2">
        <v>8.8000000000000007</v>
      </c>
      <c r="J49" s="2">
        <v>5</v>
      </c>
      <c r="K49" s="11">
        <v>275</v>
      </c>
      <c r="L49" s="3" t="s">
        <v>65</v>
      </c>
      <c r="M49" s="11" t="s">
        <v>68</v>
      </c>
      <c r="N49" s="3" t="s">
        <v>3</v>
      </c>
    </row>
    <row r="50" spans="1:14" x14ac:dyDescent="0.25">
      <c r="A50" s="11" t="s">
        <v>17</v>
      </c>
      <c r="B50" s="2">
        <v>206.33333332999999</v>
      </c>
      <c r="C50" s="2">
        <v>314</v>
      </c>
      <c r="D50" s="2">
        <v>28.333333332999999</v>
      </c>
      <c r="E50" s="11">
        <v>115</v>
      </c>
      <c r="F50" s="10">
        <v>5.7478636656999997</v>
      </c>
      <c r="G50" s="2">
        <v>35.51</v>
      </c>
      <c r="H50" s="2">
        <v>86</v>
      </c>
      <c r="I50" s="2">
        <v>32.200000000000003</v>
      </c>
      <c r="J50" s="2">
        <v>1</v>
      </c>
      <c r="K50" s="11">
        <v>263</v>
      </c>
      <c r="L50" s="3" t="s">
        <v>62</v>
      </c>
      <c r="M50" s="11" t="s">
        <v>68</v>
      </c>
      <c r="N50" s="3" t="s">
        <v>2</v>
      </c>
    </row>
    <row r="51" spans="1:14" x14ac:dyDescent="0.25">
      <c r="A51" s="11" t="s">
        <v>17</v>
      </c>
      <c r="B51" s="2">
        <v>162</v>
      </c>
      <c r="C51" s="2">
        <v>72</v>
      </c>
      <c r="D51" s="2">
        <v>50</v>
      </c>
      <c r="E51" s="11">
        <v>97</v>
      </c>
      <c r="F51" s="10">
        <v>4.2649999999999997</v>
      </c>
      <c r="G51" s="2">
        <v>26.56</v>
      </c>
      <c r="H51" s="2">
        <v>89.333333332999999</v>
      </c>
      <c r="I51" s="2">
        <v>5.7</v>
      </c>
      <c r="J51" s="2">
        <v>1</v>
      </c>
      <c r="K51" s="11">
        <v>232</v>
      </c>
      <c r="L51" s="3" t="s">
        <v>65</v>
      </c>
      <c r="M51" s="11" t="s">
        <v>69</v>
      </c>
      <c r="N51" s="3" t="s">
        <v>3</v>
      </c>
    </row>
    <row r="52" spans="1:14" x14ac:dyDescent="0.25">
      <c r="A52" s="11" t="s">
        <v>17</v>
      </c>
      <c r="B52" s="2">
        <v>174.33333332999999</v>
      </c>
      <c r="C52" s="2">
        <v>83.666666667000001</v>
      </c>
      <c r="D52" s="2">
        <v>39</v>
      </c>
      <c r="E52" s="11">
        <v>119</v>
      </c>
      <c r="F52" s="10">
        <v>4.4215537439999997</v>
      </c>
      <c r="G52" s="2">
        <v>30.47</v>
      </c>
      <c r="H52" s="2">
        <v>82.666666667000001</v>
      </c>
      <c r="I52" s="2">
        <v>10</v>
      </c>
      <c r="J52" s="2">
        <v>9.3333333333000006</v>
      </c>
      <c r="K52" s="11">
        <v>299</v>
      </c>
      <c r="L52" s="3" t="s">
        <v>62</v>
      </c>
      <c r="M52" s="11" t="s">
        <v>70</v>
      </c>
      <c r="N52" s="3" t="s">
        <v>3</v>
      </c>
    </row>
    <row r="53" spans="1:14" x14ac:dyDescent="0.25">
      <c r="A53" s="11" t="s">
        <v>17</v>
      </c>
      <c r="B53" s="2">
        <v>171</v>
      </c>
      <c r="C53" s="2">
        <v>47.666666667000001</v>
      </c>
      <c r="D53" s="2">
        <v>55.174533332999999</v>
      </c>
      <c r="E53" s="11">
        <v>105</v>
      </c>
      <c r="F53" s="10">
        <v>3.8428180889000001</v>
      </c>
      <c r="G53" s="2">
        <v>27.58</v>
      </c>
      <c r="H53" s="2">
        <v>85</v>
      </c>
      <c r="I53" s="2">
        <v>1.8</v>
      </c>
      <c r="J53" s="2">
        <v>6.6666666667000003</v>
      </c>
      <c r="K53" s="11">
        <v>216</v>
      </c>
      <c r="L53" s="3" t="s">
        <v>65</v>
      </c>
      <c r="M53" s="11" t="s">
        <v>70</v>
      </c>
      <c r="N53" s="3" t="s">
        <v>3</v>
      </c>
    </row>
    <row r="54" spans="1:14" x14ac:dyDescent="0.25">
      <c r="A54" s="11" t="s">
        <v>17</v>
      </c>
      <c r="B54" s="2">
        <v>167</v>
      </c>
      <c r="C54" s="2">
        <v>86.666666667000001</v>
      </c>
      <c r="D54" s="2">
        <v>41.507866667000002</v>
      </c>
      <c r="E54" s="11">
        <v>107</v>
      </c>
      <c r="F54" s="10">
        <v>4.4301953365999998</v>
      </c>
      <c r="G54" s="2">
        <v>20.56</v>
      </c>
      <c r="H54" s="2">
        <v>81.666666667000001</v>
      </c>
      <c r="I54" s="2">
        <v>12</v>
      </c>
      <c r="J54" s="2">
        <v>18</v>
      </c>
      <c r="K54" s="11">
        <v>206</v>
      </c>
      <c r="L54" s="3" t="s">
        <v>61</v>
      </c>
      <c r="M54" s="11" t="s">
        <v>68</v>
      </c>
      <c r="N54" s="3" t="s">
        <v>3</v>
      </c>
    </row>
    <row r="55" spans="1:14" x14ac:dyDescent="0.25">
      <c r="A55" s="11" t="s">
        <v>17</v>
      </c>
      <c r="B55" s="2">
        <v>240</v>
      </c>
      <c r="C55" s="2">
        <v>214.33333332999999</v>
      </c>
      <c r="D55" s="2">
        <v>30.333333332999999</v>
      </c>
      <c r="E55" s="11">
        <v>167</v>
      </c>
      <c r="F55" s="10">
        <v>5.3152413089000001</v>
      </c>
      <c r="G55" s="2">
        <v>29.33</v>
      </c>
      <c r="H55" s="2">
        <v>92.333333332999999</v>
      </c>
      <c r="I55" s="2">
        <v>12.5</v>
      </c>
      <c r="J55" s="2">
        <v>6.3333333332999997</v>
      </c>
      <c r="K55" s="11">
        <v>303</v>
      </c>
      <c r="L55" s="3" t="s">
        <v>65</v>
      </c>
      <c r="M55" s="11" t="s">
        <v>68</v>
      </c>
      <c r="N55" s="3" t="s">
        <v>2</v>
      </c>
    </row>
    <row r="56" spans="1:14" x14ac:dyDescent="0.25">
      <c r="A56" s="11" t="s">
        <v>17</v>
      </c>
      <c r="B56" s="2">
        <v>201</v>
      </c>
      <c r="C56" s="2">
        <v>233.33333332999999</v>
      </c>
      <c r="D56" s="2">
        <v>26.841200000000001</v>
      </c>
      <c r="E56" s="11">
        <v>126</v>
      </c>
      <c r="F56" s="10">
        <v>5.4524537797999999</v>
      </c>
      <c r="G56" s="2">
        <v>31.23</v>
      </c>
      <c r="H56" s="2">
        <v>102</v>
      </c>
      <c r="I56" s="2">
        <v>26.9</v>
      </c>
      <c r="J56" s="2">
        <v>12.666666666999999</v>
      </c>
      <c r="K56" s="11">
        <v>322</v>
      </c>
      <c r="L56" s="3" t="s">
        <v>62</v>
      </c>
      <c r="M56" s="11" t="s">
        <v>68</v>
      </c>
      <c r="N56" s="3" t="s">
        <v>2</v>
      </c>
    </row>
    <row r="57" spans="1:14" x14ac:dyDescent="0.25">
      <c r="A57" s="11" t="s">
        <v>17</v>
      </c>
      <c r="B57" s="2">
        <v>164.66666667000001</v>
      </c>
      <c r="C57" s="2">
        <v>90</v>
      </c>
      <c r="D57" s="2">
        <v>49.174533332999999</v>
      </c>
      <c r="E57" s="11">
        <v>97</v>
      </c>
      <c r="F57" s="10">
        <v>4.4766473967999998</v>
      </c>
      <c r="G57" s="2">
        <v>23.7</v>
      </c>
      <c r="H57" s="2">
        <v>88</v>
      </c>
      <c r="I57" s="2">
        <v>11.4</v>
      </c>
      <c r="J57" s="2">
        <v>2.3333333333000001</v>
      </c>
      <c r="K57" s="11">
        <v>223</v>
      </c>
      <c r="L57" s="3" t="s">
        <v>61</v>
      </c>
      <c r="M57" s="11" t="s">
        <v>69</v>
      </c>
      <c r="N57" s="3" t="s">
        <v>3</v>
      </c>
    </row>
    <row r="58" spans="1:14" x14ac:dyDescent="0.25">
      <c r="A58" s="11" t="s">
        <v>17</v>
      </c>
      <c r="B58" s="2">
        <v>180</v>
      </c>
      <c r="C58" s="2">
        <v>94.333333332999999</v>
      </c>
      <c r="D58" s="2">
        <v>45.333333332999999</v>
      </c>
      <c r="E58" s="11">
        <v>116</v>
      </c>
      <c r="F58" s="10">
        <v>4.5029421654000004</v>
      </c>
      <c r="G58" s="2">
        <v>24.17</v>
      </c>
      <c r="H58" s="2">
        <v>89.666666667000001</v>
      </c>
      <c r="I58" s="2">
        <v>9.4</v>
      </c>
      <c r="J58" s="2">
        <v>17.666666667000001</v>
      </c>
      <c r="K58" s="11">
        <v>254</v>
      </c>
      <c r="L58" s="3" t="s">
        <v>61</v>
      </c>
      <c r="M58" s="11" t="s">
        <v>68</v>
      </c>
      <c r="N58" s="3" t="s">
        <v>3</v>
      </c>
    </row>
    <row r="59" spans="1:14" x14ac:dyDescent="0.25">
      <c r="A59" s="11" t="s">
        <v>17</v>
      </c>
      <c r="B59" s="2">
        <v>167.66666667000001</v>
      </c>
      <c r="C59" s="2">
        <v>106</v>
      </c>
      <c r="D59" s="2">
        <v>43.666666667000001</v>
      </c>
      <c r="E59" s="11">
        <v>103</v>
      </c>
      <c r="F59" s="10">
        <v>4.6537590152000003</v>
      </c>
      <c r="G59" s="2">
        <v>21.1</v>
      </c>
      <c r="H59" s="2">
        <v>90</v>
      </c>
      <c r="I59" s="2">
        <v>7.7</v>
      </c>
      <c r="J59" s="2">
        <v>1.3333333332999999</v>
      </c>
      <c r="K59" s="11">
        <v>235</v>
      </c>
      <c r="L59" s="3" t="s">
        <v>61</v>
      </c>
      <c r="M59" s="11" t="s">
        <v>69</v>
      </c>
      <c r="N59" s="3" t="s">
        <v>3</v>
      </c>
    </row>
    <row r="60" spans="1:14" x14ac:dyDescent="0.25">
      <c r="A60" s="11" t="s">
        <v>17</v>
      </c>
      <c r="B60" s="2">
        <v>176.33333332999999</v>
      </c>
      <c r="C60" s="2">
        <v>66</v>
      </c>
      <c r="D60" s="2">
        <v>39.841200000000001</v>
      </c>
      <c r="E60" s="11">
        <v>122</v>
      </c>
      <c r="F60" s="10">
        <v>4.1553061187999996</v>
      </c>
      <c r="G60" s="2">
        <v>25.45</v>
      </c>
      <c r="H60" s="2">
        <v>84</v>
      </c>
      <c r="I60" s="2">
        <v>10.8</v>
      </c>
      <c r="J60" s="2">
        <v>3.3333333333000001</v>
      </c>
      <c r="K60" s="11">
        <v>224</v>
      </c>
      <c r="L60" s="3" t="s">
        <v>65</v>
      </c>
      <c r="M60" s="11" t="s">
        <v>69</v>
      </c>
      <c r="N60" s="3" t="s">
        <v>3</v>
      </c>
    </row>
    <row r="61" spans="1:14" x14ac:dyDescent="0.25">
      <c r="A61" s="11" t="s">
        <v>17</v>
      </c>
      <c r="B61" s="2">
        <v>200.66666667000001</v>
      </c>
      <c r="C61" s="2">
        <v>62</v>
      </c>
      <c r="D61" s="2">
        <v>53.507866667000002</v>
      </c>
      <c r="E61" s="11">
        <v>133</v>
      </c>
      <c r="F61" s="10">
        <v>4.1240289862999999</v>
      </c>
      <c r="G61" s="2">
        <v>24.73</v>
      </c>
      <c r="H61" s="2">
        <v>83.666666667000001</v>
      </c>
      <c r="I61" s="2">
        <v>9.3000000000000007</v>
      </c>
      <c r="J61" s="2">
        <v>10.333333333000001</v>
      </c>
      <c r="K61" s="11">
        <v>229</v>
      </c>
      <c r="L61" s="3" t="s">
        <v>61</v>
      </c>
      <c r="M61" s="11" t="s">
        <v>69</v>
      </c>
      <c r="N61" s="3" t="s">
        <v>3</v>
      </c>
    </row>
    <row r="62" spans="1:14" x14ac:dyDescent="0.25">
      <c r="A62" s="11" t="s">
        <v>17</v>
      </c>
      <c r="B62" s="2">
        <v>181</v>
      </c>
      <c r="C62" s="2">
        <v>98</v>
      </c>
      <c r="D62" s="2">
        <v>49.666666667000001</v>
      </c>
      <c r="E62" s="11">
        <v>112</v>
      </c>
      <c r="F62" s="10">
        <v>4.5380716762000004</v>
      </c>
      <c r="G62" s="2">
        <v>20.84</v>
      </c>
      <c r="H62" s="2">
        <v>83.333333332999999</v>
      </c>
      <c r="I62" s="2">
        <v>12.8</v>
      </c>
      <c r="J62" s="2">
        <v>7.6666666667000003</v>
      </c>
      <c r="K62" s="11">
        <v>279</v>
      </c>
      <c r="L62" s="3" t="s">
        <v>61</v>
      </c>
      <c r="M62" s="11" t="s">
        <v>68</v>
      </c>
      <c r="N62" s="3" t="s">
        <v>3</v>
      </c>
    </row>
    <row r="63" spans="1:14" x14ac:dyDescent="0.25">
      <c r="A63" s="11" t="s">
        <v>17</v>
      </c>
      <c r="B63" s="2">
        <v>179</v>
      </c>
      <c r="C63" s="2">
        <v>113.33333333</v>
      </c>
      <c r="D63" s="2">
        <v>57.174533332999999</v>
      </c>
      <c r="E63" s="11">
        <v>98</v>
      </c>
      <c r="F63" s="10">
        <v>4.7285627757000004</v>
      </c>
      <c r="G63" s="2">
        <v>33.64</v>
      </c>
      <c r="H63" s="2">
        <v>90.666666667000001</v>
      </c>
      <c r="I63" s="2">
        <v>14.2</v>
      </c>
      <c r="J63" s="2">
        <v>16.333333332999999</v>
      </c>
      <c r="K63" s="11">
        <v>315</v>
      </c>
      <c r="L63" s="3" t="s">
        <v>62</v>
      </c>
      <c r="M63" s="11" t="s">
        <v>70</v>
      </c>
      <c r="N63" s="3" t="s">
        <v>3</v>
      </c>
    </row>
    <row r="64" spans="1:14" x14ac:dyDescent="0.25">
      <c r="A64" s="11" t="s">
        <v>17</v>
      </c>
      <c r="B64" s="2">
        <v>187</v>
      </c>
      <c r="C64" s="2">
        <v>191</v>
      </c>
      <c r="D64" s="2">
        <v>42</v>
      </c>
      <c r="E64" s="11">
        <v>107</v>
      </c>
      <c r="F64" s="10">
        <v>5.1452388644999996</v>
      </c>
      <c r="G64" s="2">
        <v>34.770000000000003</v>
      </c>
      <c r="H64" s="2">
        <v>109.66666667</v>
      </c>
      <c r="I64" s="2">
        <v>24.3</v>
      </c>
      <c r="J64" s="2">
        <v>13.333333333000001</v>
      </c>
      <c r="K64" s="11">
        <v>328</v>
      </c>
      <c r="L64" s="3" t="s">
        <v>62</v>
      </c>
      <c r="M64" s="11" t="s">
        <v>68</v>
      </c>
      <c r="N64" s="3" t="s">
        <v>3</v>
      </c>
    </row>
    <row r="65" spans="1:14" x14ac:dyDescent="0.25">
      <c r="A65" s="11" t="s">
        <v>17</v>
      </c>
      <c r="B65" s="2">
        <v>217.33333332999999</v>
      </c>
      <c r="C65" s="2">
        <v>160.33333332999999</v>
      </c>
      <c r="D65" s="2">
        <v>39.333333332999999</v>
      </c>
      <c r="E65" s="11">
        <v>146</v>
      </c>
      <c r="F65" s="10">
        <v>5.0160815791999998</v>
      </c>
      <c r="G65" s="2">
        <v>28.76</v>
      </c>
      <c r="H65" s="2">
        <v>89.666666667000001</v>
      </c>
      <c r="I65" s="2">
        <v>11.3</v>
      </c>
      <c r="J65" s="2">
        <v>28</v>
      </c>
      <c r="K65" s="11">
        <v>329</v>
      </c>
      <c r="L65" s="3" t="s">
        <v>65</v>
      </c>
      <c r="M65" s="11" t="s">
        <v>70</v>
      </c>
      <c r="N65" s="3" t="s">
        <v>2</v>
      </c>
    </row>
    <row r="66" spans="1:14" x14ac:dyDescent="0.25">
      <c r="A66" s="11" t="s">
        <v>17</v>
      </c>
      <c r="B66" s="2">
        <v>212.66666667000001</v>
      </c>
      <c r="C66" s="2">
        <v>148.33333332999999</v>
      </c>
      <c r="D66" s="2">
        <v>42.333333332999999</v>
      </c>
      <c r="E66" s="11">
        <v>141</v>
      </c>
      <c r="F66" s="10">
        <v>4.9766863952999998</v>
      </c>
      <c r="G66" s="2">
        <v>28.34</v>
      </c>
      <c r="H66" s="2">
        <v>91</v>
      </c>
      <c r="I66" s="2">
        <v>18.7</v>
      </c>
      <c r="J66" s="2">
        <v>60.333333332999999</v>
      </c>
      <c r="K66" s="11">
        <v>394</v>
      </c>
      <c r="L66" s="3" t="s">
        <v>65</v>
      </c>
      <c r="M66" s="11" t="s">
        <v>68</v>
      </c>
      <c r="N66" s="3" t="s">
        <v>3</v>
      </c>
    </row>
    <row r="67" spans="1:14" x14ac:dyDescent="0.25">
      <c r="A67" s="11" t="s">
        <v>17</v>
      </c>
      <c r="B67" s="2">
        <v>227.66666667000001</v>
      </c>
      <c r="C67" s="2">
        <v>79.333333332999999</v>
      </c>
      <c r="D67" s="2">
        <v>49.841200000000001</v>
      </c>
      <c r="E67" s="11">
        <v>161</v>
      </c>
      <c r="F67" s="10">
        <v>4.3680909079000001</v>
      </c>
      <c r="G67" s="2">
        <v>29.76</v>
      </c>
      <c r="H67" s="2">
        <v>93.666666667000001</v>
      </c>
      <c r="I67" s="2">
        <v>3</v>
      </c>
      <c r="J67" s="2">
        <v>36.333333332999999</v>
      </c>
      <c r="K67" s="11">
        <v>258</v>
      </c>
      <c r="L67" s="3" t="s">
        <v>65</v>
      </c>
      <c r="M67" s="11" t="s">
        <v>69</v>
      </c>
      <c r="N67" s="3" t="s">
        <v>2</v>
      </c>
    </row>
    <row r="68" spans="1:14" x14ac:dyDescent="0.25">
      <c r="A68" s="11" t="s">
        <v>17</v>
      </c>
      <c r="B68" s="2">
        <v>248.66666667000001</v>
      </c>
      <c r="C68" s="2">
        <v>146.66666667000001</v>
      </c>
      <c r="D68" s="2">
        <v>61</v>
      </c>
      <c r="E68" s="11">
        <v>158</v>
      </c>
      <c r="F68" s="10">
        <v>4.9424046539999997</v>
      </c>
      <c r="G68" s="2">
        <v>22.16</v>
      </c>
      <c r="H68" s="2">
        <v>98</v>
      </c>
      <c r="I68" s="2">
        <v>6.9</v>
      </c>
      <c r="J68" s="2">
        <v>1</v>
      </c>
      <c r="K68" s="11">
        <v>283</v>
      </c>
      <c r="L68" s="3" t="s">
        <v>61</v>
      </c>
      <c r="M68" s="11" t="s">
        <v>68</v>
      </c>
      <c r="N68" s="3" t="s">
        <v>3</v>
      </c>
    </row>
    <row r="69" spans="1:14" x14ac:dyDescent="0.25">
      <c r="A69" s="11" t="s">
        <v>17</v>
      </c>
      <c r="B69" s="2">
        <v>234</v>
      </c>
      <c r="C69" s="2">
        <v>194</v>
      </c>
      <c r="D69" s="2">
        <v>48</v>
      </c>
      <c r="E69" s="11">
        <v>147</v>
      </c>
      <c r="F69" s="10">
        <v>5.2188024854000004</v>
      </c>
      <c r="G69" s="2">
        <v>22</v>
      </c>
      <c r="H69" s="2">
        <v>105.33333333</v>
      </c>
      <c r="I69" s="2">
        <v>12</v>
      </c>
      <c r="J69" s="2">
        <v>2.6666666666999999</v>
      </c>
      <c r="K69" s="11">
        <v>212</v>
      </c>
      <c r="L69" s="3" t="s">
        <v>61</v>
      </c>
      <c r="M69" s="11" t="s">
        <v>68</v>
      </c>
      <c r="N69" s="3" t="s">
        <v>3</v>
      </c>
    </row>
    <row r="70" spans="1:14" x14ac:dyDescent="0.25">
      <c r="A70" s="11" t="s">
        <v>17</v>
      </c>
      <c r="B70" s="2">
        <v>299.33333333000002</v>
      </c>
      <c r="C70" s="2">
        <v>435</v>
      </c>
      <c r="D70" s="2">
        <v>36.333333332999999</v>
      </c>
      <c r="E70" s="11">
        <v>182</v>
      </c>
      <c r="F70" s="10">
        <v>6.0708972392999998</v>
      </c>
      <c r="G70" s="2">
        <v>26.71</v>
      </c>
      <c r="H70" s="2">
        <v>87.333333332999999</v>
      </c>
      <c r="I70" s="2">
        <v>10</v>
      </c>
      <c r="J70" s="2">
        <v>1</v>
      </c>
      <c r="K70" s="11">
        <v>234</v>
      </c>
      <c r="L70" s="3" t="s">
        <v>65</v>
      </c>
      <c r="M70" s="11" t="s">
        <v>70</v>
      </c>
      <c r="N70" s="3" t="s">
        <v>2</v>
      </c>
    </row>
    <row r="71" spans="1:14" x14ac:dyDescent="0.25">
      <c r="A71" s="11" t="s">
        <v>17</v>
      </c>
      <c r="B71" s="2">
        <v>187.66666667000001</v>
      </c>
      <c r="C71" s="2">
        <v>108</v>
      </c>
      <c r="D71" s="2">
        <v>45.666666667000001</v>
      </c>
      <c r="E71" s="11">
        <v>121</v>
      </c>
      <c r="F71" s="10">
        <v>4.6384673662000004</v>
      </c>
      <c r="G71" s="2">
        <v>22.04</v>
      </c>
      <c r="H71" s="2">
        <v>87</v>
      </c>
      <c r="I71" s="2">
        <v>15.1</v>
      </c>
      <c r="J71" s="2">
        <v>17</v>
      </c>
      <c r="K71" s="11">
        <v>249</v>
      </c>
      <c r="L71" s="3" t="s">
        <v>61</v>
      </c>
      <c r="M71" s="11" t="s">
        <v>68</v>
      </c>
      <c r="N71" s="3" t="s">
        <v>3</v>
      </c>
    </row>
    <row r="72" spans="1:14" x14ac:dyDescent="0.25">
      <c r="A72" s="11" t="s">
        <v>17</v>
      </c>
      <c r="B72" s="2">
        <v>224</v>
      </c>
      <c r="C72" s="2">
        <v>182.66666667000001</v>
      </c>
      <c r="D72" s="2">
        <v>37.333333332999999</v>
      </c>
      <c r="E72" s="11">
        <v>150</v>
      </c>
      <c r="F72" s="10">
        <v>5.1637027859</v>
      </c>
      <c r="G72" s="2">
        <v>26.66</v>
      </c>
      <c r="H72" s="2">
        <v>93.666666667000001</v>
      </c>
      <c r="I72" s="2">
        <v>18.7</v>
      </c>
      <c r="J72" s="2">
        <v>24</v>
      </c>
      <c r="K72" s="11">
        <v>349</v>
      </c>
      <c r="L72" s="3" t="s">
        <v>65</v>
      </c>
      <c r="M72" s="11" t="s">
        <v>68</v>
      </c>
      <c r="N72" s="3" t="s">
        <v>2</v>
      </c>
    </row>
    <row r="73" spans="1:14" x14ac:dyDescent="0.25">
      <c r="A73" s="11" t="s">
        <v>17</v>
      </c>
      <c r="B73" s="2">
        <v>221.66666667000001</v>
      </c>
      <c r="C73" s="2">
        <v>115.66666667</v>
      </c>
      <c r="D73" s="2">
        <v>46.666666667000001</v>
      </c>
      <c r="E73" s="11">
        <v>152</v>
      </c>
      <c r="F73" s="10">
        <v>4.7500486811</v>
      </c>
      <c r="G73" s="2">
        <v>24.17</v>
      </c>
      <c r="H73" s="2">
        <v>84.666666667000001</v>
      </c>
      <c r="I73" s="2">
        <v>8.1999999999999993</v>
      </c>
      <c r="J73" s="2">
        <v>6.6666666667000003</v>
      </c>
      <c r="K73" s="11">
        <v>414</v>
      </c>
      <c r="L73" s="3" t="s">
        <v>61</v>
      </c>
      <c r="M73" s="11" t="s">
        <v>68</v>
      </c>
      <c r="N73" s="3" t="s">
        <v>3</v>
      </c>
    </row>
    <row r="74" spans="1:14" x14ac:dyDescent="0.25">
      <c r="A74" s="11" t="s">
        <v>17</v>
      </c>
      <c r="B74" s="2">
        <v>263.66666666999998</v>
      </c>
      <c r="C74" s="2">
        <v>386</v>
      </c>
      <c r="D74" s="2">
        <v>38.507866667000002</v>
      </c>
      <c r="E74" s="11">
        <v>155</v>
      </c>
      <c r="F74" s="10">
        <v>5.9436039708999999</v>
      </c>
      <c r="G74" s="2">
        <v>33.67</v>
      </c>
      <c r="H74" s="2">
        <v>104.66666667</v>
      </c>
      <c r="I74" s="2">
        <v>14.8</v>
      </c>
      <c r="J74" s="2">
        <v>1</v>
      </c>
      <c r="K74" s="11">
        <v>292</v>
      </c>
      <c r="L74" s="3" t="s">
        <v>62</v>
      </c>
      <c r="M74" s="11" t="s">
        <v>70</v>
      </c>
      <c r="N74" s="3" t="s">
        <v>2</v>
      </c>
    </row>
    <row r="75" spans="1:14" x14ac:dyDescent="0.25">
      <c r="A75" s="11" t="s">
        <v>17</v>
      </c>
      <c r="B75" s="2">
        <v>233</v>
      </c>
      <c r="C75" s="2">
        <v>116.66666667</v>
      </c>
      <c r="D75" s="2">
        <v>49.507866667000002</v>
      </c>
      <c r="E75" s="11">
        <v>159</v>
      </c>
      <c r="F75" s="10">
        <v>4.7548401168999996</v>
      </c>
      <c r="G75" s="2">
        <v>24.07</v>
      </c>
      <c r="H75" s="2">
        <v>104.33333333</v>
      </c>
      <c r="I75" s="2">
        <v>7.2</v>
      </c>
      <c r="J75" s="2">
        <v>31</v>
      </c>
      <c r="K75" s="11">
        <v>221</v>
      </c>
      <c r="L75" s="3" t="s">
        <v>61</v>
      </c>
      <c r="M75" s="11" t="s">
        <v>68</v>
      </c>
      <c r="N75" s="3" t="s">
        <v>3</v>
      </c>
    </row>
    <row r="76" spans="1:14" x14ac:dyDescent="0.25">
      <c r="A76" s="11" t="s">
        <v>17</v>
      </c>
      <c r="B76" s="2">
        <v>171.33333332999999</v>
      </c>
      <c r="C76" s="2">
        <v>90.666666667000001</v>
      </c>
      <c r="D76" s="2">
        <v>41.507866667000002</v>
      </c>
      <c r="E76" s="11">
        <v>110</v>
      </c>
      <c r="F76" s="10">
        <v>4.4968491455999997</v>
      </c>
      <c r="G76" s="2">
        <v>25.45</v>
      </c>
      <c r="H76" s="2">
        <v>93.666666667000001</v>
      </c>
      <c r="I76" s="2">
        <v>7.5</v>
      </c>
      <c r="J76" s="2">
        <v>9</v>
      </c>
      <c r="K76" s="11">
        <v>255</v>
      </c>
      <c r="L76" s="3" t="s">
        <v>65</v>
      </c>
      <c r="M76" s="11" t="s">
        <v>69</v>
      </c>
      <c r="N76" s="3" t="s">
        <v>3</v>
      </c>
    </row>
    <row r="77" spans="1:14" x14ac:dyDescent="0.25">
      <c r="A77" s="11" t="s">
        <v>17</v>
      </c>
      <c r="B77" s="2">
        <v>214</v>
      </c>
      <c r="C77" s="2">
        <v>148</v>
      </c>
      <c r="D77" s="2">
        <v>34.174533332999999</v>
      </c>
      <c r="E77" s="11">
        <v>149</v>
      </c>
      <c r="F77" s="10">
        <v>4.9962369011999996</v>
      </c>
      <c r="G77" s="2">
        <v>25.23</v>
      </c>
      <c r="H77" s="2">
        <v>97.666666667000001</v>
      </c>
      <c r="I77" s="2">
        <v>7.5</v>
      </c>
      <c r="J77" s="2">
        <v>18.666666667000001</v>
      </c>
      <c r="K77" s="11">
        <v>295</v>
      </c>
      <c r="L77" s="3" t="s">
        <v>65</v>
      </c>
      <c r="M77" s="11" t="s">
        <v>70</v>
      </c>
      <c r="N77" s="3" t="s">
        <v>3</v>
      </c>
    </row>
    <row r="78" spans="1:14" x14ac:dyDescent="0.25">
      <c r="A78" s="11" t="s">
        <v>17</v>
      </c>
      <c r="B78" s="2">
        <v>226</v>
      </c>
      <c r="C78" s="2">
        <v>139.66666667000001</v>
      </c>
      <c r="D78" s="2">
        <v>36.174533332999999</v>
      </c>
      <c r="E78" s="11">
        <v>161</v>
      </c>
      <c r="F78" s="10">
        <v>4.9333929773999996</v>
      </c>
      <c r="G78" s="2">
        <v>29.98</v>
      </c>
      <c r="H78" s="2">
        <v>87.333333332999999</v>
      </c>
      <c r="I78" s="2">
        <v>8.1</v>
      </c>
      <c r="J78" s="2">
        <v>5.6666666667000003</v>
      </c>
      <c r="K78" s="11">
        <v>319</v>
      </c>
      <c r="L78" s="3" t="s">
        <v>65</v>
      </c>
      <c r="M78" s="11" t="s">
        <v>68</v>
      </c>
      <c r="N78" s="3" t="s">
        <v>3</v>
      </c>
    </row>
    <row r="79" spans="1:14" x14ac:dyDescent="0.25">
      <c r="A79" s="11" t="s">
        <v>17</v>
      </c>
      <c r="B79" s="2">
        <v>264</v>
      </c>
      <c r="C79" s="2">
        <v>282</v>
      </c>
      <c r="D79" s="2">
        <v>41</v>
      </c>
      <c r="E79" s="11">
        <v>167</v>
      </c>
      <c r="F79" s="10">
        <v>5.6380966979</v>
      </c>
      <c r="G79" s="2">
        <v>28.07</v>
      </c>
      <c r="H79" s="2">
        <v>95</v>
      </c>
      <c r="I79" s="2">
        <v>16.100000000000001</v>
      </c>
      <c r="J79" s="2">
        <v>1</v>
      </c>
      <c r="K79" s="11">
        <v>283</v>
      </c>
      <c r="L79" s="3" t="s">
        <v>65</v>
      </c>
      <c r="M79" s="11" t="s">
        <v>69</v>
      </c>
      <c r="N79" s="3" t="s">
        <v>2</v>
      </c>
    </row>
    <row r="80" spans="1:14" x14ac:dyDescent="0.25">
      <c r="A80" s="11" t="s">
        <v>17</v>
      </c>
      <c r="B80" s="2">
        <v>214</v>
      </c>
      <c r="C80" s="2">
        <v>104</v>
      </c>
      <c r="D80" s="2">
        <v>54.333333332999999</v>
      </c>
      <c r="E80" s="11">
        <v>139</v>
      </c>
      <c r="F80" s="10">
        <v>4.6404070041000001</v>
      </c>
      <c r="G80" s="2">
        <v>34.520000000000003</v>
      </c>
      <c r="H80" s="2">
        <v>94.666666667000001</v>
      </c>
      <c r="I80" s="2">
        <v>7.9</v>
      </c>
      <c r="J80" s="2">
        <v>5.3333333332999997</v>
      </c>
      <c r="K80" s="11">
        <v>258</v>
      </c>
      <c r="L80" s="3" t="s">
        <v>62</v>
      </c>
      <c r="M80" s="11" t="s">
        <v>70</v>
      </c>
      <c r="N80" s="3" t="s">
        <v>3</v>
      </c>
    </row>
    <row r="81" spans="1:14" x14ac:dyDescent="0.25">
      <c r="A81" s="11" t="s">
        <v>17</v>
      </c>
      <c r="B81" s="2">
        <v>211</v>
      </c>
      <c r="C81" s="2">
        <v>101.66666667</v>
      </c>
      <c r="D81" s="2">
        <v>41.666666667000001</v>
      </c>
      <c r="E81" s="11">
        <v>149</v>
      </c>
      <c r="F81" s="10">
        <v>4.6148237077000003</v>
      </c>
      <c r="G81" s="2">
        <v>29.35</v>
      </c>
      <c r="H81" s="2">
        <v>91.333333332999999</v>
      </c>
      <c r="I81" s="2">
        <v>9.1</v>
      </c>
      <c r="J81" s="2">
        <v>11</v>
      </c>
      <c r="K81" s="11">
        <v>234</v>
      </c>
      <c r="L81" s="3" t="s">
        <v>65</v>
      </c>
      <c r="M81" s="11" t="s">
        <v>70</v>
      </c>
      <c r="N81" s="3" t="s">
        <v>3</v>
      </c>
    </row>
    <row r="82" spans="1:14" x14ac:dyDescent="0.25">
      <c r="A82" s="11" t="s">
        <v>17</v>
      </c>
      <c r="B82" s="2">
        <v>212.66666667000001</v>
      </c>
      <c r="C82" s="2">
        <v>180</v>
      </c>
      <c r="D82" s="2">
        <v>44.333333332999999</v>
      </c>
      <c r="E82" s="11">
        <v>132</v>
      </c>
      <c r="F82" s="10">
        <v>5.1879645771999998</v>
      </c>
      <c r="G82" s="2">
        <v>39.770000000000003</v>
      </c>
      <c r="H82" s="2">
        <v>91</v>
      </c>
      <c r="I82" s="2">
        <v>13.2</v>
      </c>
      <c r="J82" s="2">
        <v>1</v>
      </c>
      <c r="K82" s="11">
        <v>341</v>
      </c>
      <c r="L82" s="3" t="s">
        <v>62</v>
      </c>
      <c r="M82" s="11" t="s">
        <v>70</v>
      </c>
      <c r="N82" s="3" t="s">
        <v>2</v>
      </c>
    </row>
    <row r="83" spans="1:14" x14ac:dyDescent="0.25">
      <c r="A83" s="11" t="s">
        <v>17</v>
      </c>
      <c r="B83" s="2">
        <v>234</v>
      </c>
      <c r="C83" s="2">
        <v>306.66666666999998</v>
      </c>
      <c r="D83" s="2">
        <v>35.507866667000002</v>
      </c>
      <c r="E83" s="11">
        <v>136</v>
      </c>
      <c r="F83" s="10">
        <v>5.7158570192999996</v>
      </c>
      <c r="G83" s="2">
        <v>30.86</v>
      </c>
      <c r="H83" s="2">
        <v>104.33333333</v>
      </c>
      <c r="I83" s="2">
        <v>21.5</v>
      </c>
      <c r="J83" s="2">
        <v>2.6666666666999999</v>
      </c>
      <c r="K83" s="11">
        <v>249</v>
      </c>
      <c r="L83" s="3" t="s">
        <v>62</v>
      </c>
      <c r="M83" s="11" t="s">
        <v>70</v>
      </c>
      <c r="N83" s="3" t="s">
        <v>2</v>
      </c>
    </row>
    <row r="84" spans="1:14" x14ac:dyDescent="0.25">
      <c r="A84" s="11" t="s">
        <v>17</v>
      </c>
      <c r="B84" s="2">
        <v>188.33333332999999</v>
      </c>
      <c r="C84" s="2">
        <v>157</v>
      </c>
      <c r="D84" s="2">
        <v>35.333333332999999</v>
      </c>
      <c r="E84" s="11">
        <v>122</v>
      </c>
      <c r="F84" s="10">
        <v>5.0135240219000003</v>
      </c>
      <c r="G84" s="2">
        <v>26.88</v>
      </c>
      <c r="H84" s="2">
        <v>88.666666667000001</v>
      </c>
      <c r="I84" s="2">
        <v>7</v>
      </c>
      <c r="J84" s="2">
        <v>3</v>
      </c>
      <c r="K84" s="11">
        <v>212</v>
      </c>
      <c r="L84" s="3" t="s">
        <v>65</v>
      </c>
      <c r="M84" s="11" t="s">
        <v>68</v>
      </c>
      <c r="N84" s="3" t="s">
        <v>3</v>
      </c>
    </row>
    <row r="85" spans="1:14" x14ac:dyDescent="0.25">
      <c r="A85" s="11" t="s">
        <v>17</v>
      </c>
      <c r="B85" s="2">
        <v>226</v>
      </c>
      <c r="C85" s="2">
        <v>172.66666667000001</v>
      </c>
      <c r="D85" s="2">
        <v>42.333333332999999</v>
      </c>
      <c r="E85" s="11">
        <v>149</v>
      </c>
      <c r="F85" s="10">
        <v>5.1476328007000003</v>
      </c>
      <c r="G85" s="2">
        <v>30.93</v>
      </c>
      <c r="H85" s="2">
        <v>86</v>
      </c>
      <c r="I85" s="2">
        <v>13.7</v>
      </c>
      <c r="J85" s="2">
        <v>11</v>
      </c>
      <c r="K85" s="11">
        <v>255</v>
      </c>
      <c r="L85" s="3" t="s">
        <v>62</v>
      </c>
      <c r="M85" s="11" t="s">
        <v>70</v>
      </c>
      <c r="N85" s="3" t="s">
        <v>3</v>
      </c>
    </row>
    <row r="86" spans="1:14" x14ac:dyDescent="0.25">
      <c r="A86" s="11" t="s">
        <v>17</v>
      </c>
      <c r="B86" s="2">
        <v>240</v>
      </c>
      <c r="C86" s="2">
        <v>303.66666666999998</v>
      </c>
      <c r="D86" s="2">
        <v>35.174533332999999</v>
      </c>
      <c r="E86" s="11">
        <v>143</v>
      </c>
      <c r="F86" s="10">
        <v>5.6811676071999999</v>
      </c>
      <c r="G86" s="2">
        <v>26.66</v>
      </c>
      <c r="H86" s="2">
        <v>87.666666667000001</v>
      </c>
      <c r="I86" s="2">
        <v>25.7</v>
      </c>
      <c r="J86" s="2">
        <v>20</v>
      </c>
      <c r="K86" s="11">
        <v>205</v>
      </c>
      <c r="L86" s="3" t="s">
        <v>65</v>
      </c>
      <c r="M86" s="11" t="s">
        <v>69</v>
      </c>
      <c r="N86" s="3" t="s">
        <v>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"/>
  <sheetViews>
    <sheetView workbookViewId="0">
      <pane ySplit="1" topLeftCell="A2" activePane="bottomLeft" state="frozen"/>
      <selection pane="bottomLeft" activeCell="N13" sqref="N13"/>
    </sheetView>
  </sheetViews>
  <sheetFormatPr defaultColWidth="9.140625" defaultRowHeight="15" x14ac:dyDescent="0.25"/>
  <cols>
    <col min="1" max="1" width="3.5703125" style="11" bestFit="1" customWidth="1"/>
    <col min="2" max="2" width="5.85546875" style="11" bestFit="1" customWidth="1"/>
    <col min="3" max="3" width="7.140625" style="11" bestFit="1" customWidth="1"/>
    <col min="4" max="4" width="7.42578125" style="11" bestFit="1" customWidth="1"/>
    <col min="5" max="5" width="7.140625" style="11" bestFit="1" customWidth="1"/>
    <col min="6" max="6" width="8.140625" style="3" bestFit="1" customWidth="1"/>
    <col min="7" max="8" width="8.42578125" style="11" bestFit="1" customWidth="1"/>
    <col min="9" max="9" width="9.5703125" style="11" bestFit="1" customWidth="1"/>
    <col min="10" max="11" width="9.85546875" style="11" bestFit="1" customWidth="1"/>
    <col min="12" max="13" width="9.140625" style="11"/>
    <col min="14" max="14" width="9.5703125" style="11" customWidth="1"/>
    <col min="15" max="16384" width="9.140625" style="11"/>
  </cols>
  <sheetData>
    <row r="1" spans="1:14" x14ac:dyDescent="0.25">
      <c r="A1" s="3" t="s">
        <v>15</v>
      </c>
      <c r="B1" s="3" t="s">
        <v>16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56</v>
      </c>
      <c r="L1" s="11" t="s">
        <v>71</v>
      </c>
      <c r="M1" s="11" t="s">
        <v>72</v>
      </c>
      <c r="N1" s="11" t="s">
        <v>73</v>
      </c>
    </row>
    <row r="2" spans="1:14" x14ac:dyDescent="0.25">
      <c r="A2" s="3" t="s">
        <v>17</v>
      </c>
      <c r="B2" s="3" t="s">
        <v>18</v>
      </c>
      <c r="C2" s="2">
        <v>171.25</v>
      </c>
      <c r="D2" s="2">
        <v>49.5</v>
      </c>
      <c r="E2" s="2">
        <v>118.25</v>
      </c>
      <c r="F2" s="2">
        <v>154.75</v>
      </c>
      <c r="G2" s="2">
        <v>41.75</v>
      </c>
      <c r="H2" s="2">
        <v>114.25</v>
      </c>
      <c r="I2" s="2">
        <v>154.75</v>
      </c>
      <c r="J2" s="2">
        <v>40.5</v>
      </c>
      <c r="K2" s="2">
        <v>112.5</v>
      </c>
      <c r="L2" s="11" t="s">
        <v>69</v>
      </c>
      <c r="M2" s="11" t="s">
        <v>69</v>
      </c>
      <c r="N2" s="11" t="s">
        <v>69</v>
      </c>
    </row>
    <row r="3" spans="1:14" x14ac:dyDescent="0.25">
      <c r="A3" s="3" t="s">
        <v>8</v>
      </c>
      <c r="B3" s="3" t="s">
        <v>18</v>
      </c>
      <c r="C3" s="2">
        <v>171.75</v>
      </c>
      <c r="D3" s="2">
        <v>57</v>
      </c>
      <c r="E3" s="2">
        <v>101.5</v>
      </c>
      <c r="F3" s="2">
        <v>168.25</v>
      </c>
      <c r="G3" s="2">
        <v>59.75</v>
      </c>
      <c r="H3" s="2">
        <v>91.25</v>
      </c>
      <c r="I3" s="2">
        <v>157.66666667000001</v>
      </c>
      <c r="J3" s="2">
        <v>60.333333332999999</v>
      </c>
      <c r="K3" s="2">
        <v>81.333333332999999</v>
      </c>
      <c r="L3" s="11" t="s">
        <v>70</v>
      </c>
      <c r="M3" s="11" t="s">
        <v>69</v>
      </c>
      <c r="N3" s="11" t="s">
        <v>68</v>
      </c>
    </row>
    <row r="4" spans="1:14" x14ac:dyDescent="0.25">
      <c r="A4" s="3" t="s">
        <v>8</v>
      </c>
      <c r="B4" s="3" t="s">
        <v>18</v>
      </c>
      <c r="C4" s="2">
        <v>167</v>
      </c>
      <c r="D4" s="2">
        <v>58.25</v>
      </c>
      <c r="E4" s="2">
        <v>84.5</v>
      </c>
      <c r="F4" s="2">
        <v>166.5</v>
      </c>
      <c r="G4" s="2">
        <v>58.5</v>
      </c>
      <c r="H4" s="2">
        <v>82.5</v>
      </c>
      <c r="I4" s="2">
        <v>170.25</v>
      </c>
      <c r="J4" s="2">
        <v>60.25</v>
      </c>
      <c r="K4" s="2">
        <v>106</v>
      </c>
      <c r="L4" s="11" t="s">
        <v>68</v>
      </c>
      <c r="M4" s="11" t="s">
        <v>74</v>
      </c>
      <c r="N4" s="11" t="s">
        <v>69</v>
      </c>
    </row>
    <row r="5" spans="1:14" x14ac:dyDescent="0.25">
      <c r="A5" s="3" t="s">
        <v>8</v>
      </c>
      <c r="B5" s="3" t="s">
        <v>18</v>
      </c>
      <c r="C5" s="2">
        <v>179.25</v>
      </c>
      <c r="D5" s="2">
        <v>69.75</v>
      </c>
      <c r="E5" s="2">
        <v>79</v>
      </c>
      <c r="F5" s="2">
        <v>158</v>
      </c>
      <c r="G5" s="2">
        <v>63.25</v>
      </c>
      <c r="H5" s="2">
        <v>64</v>
      </c>
      <c r="I5" s="2">
        <v>152.5</v>
      </c>
      <c r="J5" s="2">
        <v>59.25</v>
      </c>
      <c r="K5" s="2">
        <v>70.75</v>
      </c>
      <c r="L5" s="11" t="s">
        <v>70</v>
      </c>
      <c r="M5" s="11" t="s">
        <v>68</v>
      </c>
      <c r="N5" s="11" t="s">
        <v>69</v>
      </c>
    </row>
    <row r="6" spans="1:14" x14ac:dyDescent="0.25">
      <c r="A6" s="3" t="s">
        <v>8</v>
      </c>
      <c r="B6" s="3" t="s">
        <v>18</v>
      </c>
      <c r="C6" s="2">
        <v>173.25</v>
      </c>
      <c r="D6" s="2">
        <v>72.5</v>
      </c>
      <c r="E6" s="2">
        <v>89.75</v>
      </c>
      <c r="F6" s="2">
        <v>153.75</v>
      </c>
      <c r="G6" s="2">
        <v>72.5</v>
      </c>
      <c r="H6" s="2">
        <v>88.75</v>
      </c>
      <c r="I6" s="2">
        <v>152.25</v>
      </c>
      <c r="J6" s="2">
        <v>66</v>
      </c>
      <c r="K6" s="2">
        <v>96</v>
      </c>
      <c r="L6" s="11" t="s">
        <v>68</v>
      </c>
      <c r="M6" s="11" t="s">
        <v>69</v>
      </c>
      <c r="N6" s="11" t="s">
        <v>74</v>
      </c>
    </row>
    <row r="7" spans="1:14" x14ac:dyDescent="0.25">
      <c r="A7" s="3" t="s">
        <v>17</v>
      </c>
      <c r="B7" s="3" t="s">
        <v>18</v>
      </c>
      <c r="C7" s="2">
        <v>196</v>
      </c>
      <c r="D7" s="2">
        <v>53.5</v>
      </c>
      <c r="E7" s="2">
        <v>142.5</v>
      </c>
      <c r="F7" s="2">
        <v>210.5</v>
      </c>
      <c r="G7" s="2">
        <v>51.25</v>
      </c>
      <c r="H7" s="2">
        <v>166.25</v>
      </c>
      <c r="I7" s="2">
        <v>196.25</v>
      </c>
      <c r="J7" s="2">
        <v>48.5</v>
      </c>
      <c r="K7" s="2">
        <v>188.5</v>
      </c>
      <c r="L7" s="11" t="s">
        <v>74</v>
      </c>
      <c r="M7" s="11" t="s">
        <v>75</v>
      </c>
      <c r="N7" s="11" t="s">
        <v>68</v>
      </c>
    </row>
    <row r="8" spans="1:14" x14ac:dyDescent="0.25">
      <c r="A8" s="3" t="s">
        <v>8</v>
      </c>
      <c r="B8" s="3" t="s">
        <v>19</v>
      </c>
      <c r="C8" s="2">
        <v>178</v>
      </c>
      <c r="D8" s="2">
        <v>52</v>
      </c>
      <c r="E8" s="2">
        <v>121.25</v>
      </c>
      <c r="F8" s="2">
        <v>167.25</v>
      </c>
      <c r="G8" s="2">
        <v>55.25</v>
      </c>
      <c r="H8" s="2">
        <v>92.25</v>
      </c>
      <c r="I8" s="2">
        <v>157.75</v>
      </c>
      <c r="J8" s="2">
        <v>53.5</v>
      </c>
      <c r="K8" s="2">
        <v>98</v>
      </c>
      <c r="L8" s="11" t="s">
        <v>68</v>
      </c>
      <c r="M8" s="11" t="s">
        <v>69</v>
      </c>
      <c r="N8" s="11" t="s">
        <v>69</v>
      </c>
    </row>
    <row r="9" spans="1:14" x14ac:dyDescent="0.25">
      <c r="A9" s="3" t="s">
        <v>17</v>
      </c>
      <c r="B9" s="3" t="s">
        <v>18</v>
      </c>
      <c r="C9" s="2">
        <v>163</v>
      </c>
      <c r="D9" s="2">
        <v>49</v>
      </c>
      <c r="E9" s="2">
        <v>76.75</v>
      </c>
      <c r="F9" s="2">
        <v>151.75</v>
      </c>
      <c r="G9" s="2">
        <v>47.75</v>
      </c>
      <c r="H9" s="2">
        <v>68.25</v>
      </c>
      <c r="I9" s="2">
        <v>142</v>
      </c>
      <c r="J9" s="2">
        <v>41.75</v>
      </c>
      <c r="K9" s="2">
        <v>75.75</v>
      </c>
      <c r="L9" s="11" t="s">
        <v>68</v>
      </c>
      <c r="M9" s="11" t="s">
        <v>70</v>
      </c>
      <c r="N9" s="11" t="s">
        <v>75</v>
      </c>
    </row>
    <row r="10" spans="1:14" x14ac:dyDescent="0.25">
      <c r="A10" s="3" t="s">
        <v>8</v>
      </c>
      <c r="B10" s="3" t="s">
        <v>18</v>
      </c>
      <c r="C10" s="2">
        <v>188.75</v>
      </c>
      <c r="D10" s="2">
        <v>85.5</v>
      </c>
      <c r="E10" s="2">
        <v>79.25</v>
      </c>
      <c r="F10" s="2">
        <v>186.75</v>
      </c>
      <c r="G10" s="2">
        <v>75.75</v>
      </c>
      <c r="H10" s="2">
        <v>92.5</v>
      </c>
      <c r="I10" s="2">
        <v>174</v>
      </c>
      <c r="J10" s="2">
        <v>79.5</v>
      </c>
      <c r="K10" s="2">
        <v>81.25</v>
      </c>
      <c r="L10" s="11" t="s">
        <v>70</v>
      </c>
      <c r="M10" s="11" t="s">
        <v>69</v>
      </c>
      <c r="N10" s="11" t="s">
        <v>68</v>
      </c>
    </row>
    <row r="11" spans="1:14" x14ac:dyDescent="0.25">
      <c r="A11" s="3" t="s">
        <v>8</v>
      </c>
      <c r="B11" s="3" t="s">
        <v>19</v>
      </c>
      <c r="C11" s="2">
        <v>234.75</v>
      </c>
      <c r="D11" s="2">
        <v>52.5</v>
      </c>
      <c r="E11" s="2">
        <v>157.75</v>
      </c>
      <c r="F11" s="2">
        <v>235.25</v>
      </c>
      <c r="G11" s="2">
        <v>50</v>
      </c>
      <c r="H11" s="2">
        <v>177.5</v>
      </c>
      <c r="I11" s="2">
        <v>229.25</v>
      </c>
      <c r="J11" s="2">
        <v>48.75</v>
      </c>
      <c r="K11" s="2">
        <v>163</v>
      </c>
      <c r="L11" s="11" t="s">
        <v>74</v>
      </c>
      <c r="M11" s="11" t="s">
        <v>75</v>
      </c>
      <c r="N11" s="11" t="s">
        <v>68</v>
      </c>
    </row>
    <row r="12" spans="1:14" x14ac:dyDescent="0.25">
      <c r="A12" s="3" t="s">
        <v>17</v>
      </c>
      <c r="B12" s="3" t="s">
        <v>18</v>
      </c>
      <c r="C12" s="2">
        <v>180.5</v>
      </c>
      <c r="D12" s="2">
        <v>63.5</v>
      </c>
      <c r="E12" s="2">
        <v>106.75</v>
      </c>
      <c r="F12" s="2">
        <v>170.5</v>
      </c>
      <c r="G12" s="2">
        <v>59.25</v>
      </c>
      <c r="H12" s="2">
        <v>118</v>
      </c>
      <c r="I12" s="2">
        <v>156.25</v>
      </c>
      <c r="J12" s="2">
        <v>58.5</v>
      </c>
      <c r="K12" s="2">
        <v>96.5</v>
      </c>
      <c r="L12" s="11" t="s">
        <v>68</v>
      </c>
      <c r="M12" s="11" t="s">
        <v>75</v>
      </c>
      <c r="N12" s="11" t="s">
        <v>70</v>
      </c>
    </row>
    <row r="13" spans="1:14" x14ac:dyDescent="0.25">
      <c r="A13" s="3" t="s">
        <v>8</v>
      </c>
      <c r="B13" s="3" t="s">
        <v>19</v>
      </c>
      <c r="C13" s="2">
        <v>243</v>
      </c>
      <c r="D13" s="2">
        <v>72.5</v>
      </c>
      <c r="E13" s="2">
        <v>96.5</v>
      </c>
      <c r="F13" s="2">
        <v>228.5</v>
      </c>
      <c r="G13" s="2">
        <v>70.75</v>
      </c>
      <c r="H13" s="2">
        <v>100.75</v>
      </c>
      <c r="I13" s="2">
        <v>221.75</v>
      </c>
      <c r="J13" s="2">
        <v>67.75</v>
      </c>
      <c r="K13" s="2">
        <v>103.5</v>
      </c>
      <c r="L13" s="11" t="s">
        <v>68</v>
      </c>
      <c r="M13" s="11" t="s">
        <v>74</v>
      </c>
      <c r="N13" s="11" t="s">
        <v>69</v>
      </c>
    </row>
    <row r="14" spans="1:14" x14ac:dyDescent="0.25">
      <c r="A14" s="3" t="s">
        <v>17</v>
      </c>
      <c r="B14" s="3" t="s">
        <v>18</v>
      </c>
      <c r="C14" s="2">
        <v>187.75</v>
      </c>
      <c r="D14" s="2">
        <v>48.25</v>
      </c>
      <c r="E14" s="2">
        <v>94.25</v>
      </c>
      <c r="F14" s="2">
        <v>176.5</v>
      </c>
      <c r="G14" s="2">
        <v>46.25</v>
      </c>
      <c r="H14" s="2">
        <v>97.5</v>
      </c>
      <c r="I14" s="2">
        <v>185</v>
      </c>
      <c r="J14" s="2">
        <v>45.25</v>
      </c>
      <c r="K14" s="2">
        <v>101.5</v>
      </c>
      <c r="L14" s="11" t="s">
        <v>68</v>
      </c>
      <c r="M14" s="11" t="s">
        <v>74</v>
      </c>
      <c r="N14" s="11" t="s">
        <v>69</v>
      </c>
    </row>
    <row r="15" spans="1:14" x14ac:dyDescent="0.25">
      <c r="A15" s="3" t="s">
        <v>17</v>
      </c>
      <c r="B15" s="3" t="s">
        <v>18</v>
      </c>
      <c r="C15" s="2">
        <v>183.25</v>
      </c>
      <c r="D15" s="2">
        <v>56.75</v>
      </c>
      <c r="E15" s="2">
        <v>79.25</v>
      </c>
      <c r="F15" s="2">
        <v>179</v>
      </c>
      <c r="G15" s="2">
        <v>48</v>
      </c>
      <c r="H15" s="2">
        <v>90.5</v>
      </c>
      <c r="I15" s="2">
        <v>155.25</v>
      </c>
      <c r="J15" s="2">
        <v>46.25</v>
      </c>
      <c r="K15" s="2">
        <v>85.75</v>
      </c>
      <c r="L15" s="11" t="s">
        <v>68</v>
      </c>
      <c r="M15" s="11" t="s">
        <v>70</v>
      </c>
      <c r="N15" s="11" t="s">
        <v>75</v>
      </c>
    </row>
    <row r="16" spans="1:14" x14ac:dyDescent="0.25">
      <c r="A16" s="3" t="s">
        <v>17</v>
      </c>
      <c r="B16" s="3" t="s">
        <v>18</v>
      </c>
      <c r="C16" s="2">
        <v>195.75</v>
      </c>
      <c r="D16" s="2">
        <v>39.5</v>
      </c>
      <c r="E16" s="2">
        <v>145.75</v>
      </c>
      <c r="F16" s="2">
        <v>181</v>
      </c>
      <c r="G16" s="2">
        <v>37</v>
      </c>
      <c r="H16" s="2">
        <v>136.25</v>
      </c>
      <c r="I16" s="2">
        <v>201</v>
      </c>
      <c r="J16" s="2">
        <v>41.5</v>
      </c>
      <c r="K16" s="2">
        <v>142</v>
      </c>
      <c r="L16" s="11" t="s">
        <v>69</v>
      </c>
      <c r="M16" s="11" t="s">
        <v>70</v>
      </c>
      <c r="N16" s="11" t="s">
        <v>68</v>
      </c>
    </row>
    <row r="17" spans="1:14" x14ac:dyDescent="0.25">
      <c r="A17" s="3" t="s">
        <v>8</v>
      </c>
      <c r="B17" s="3" t="s">
        <v>18</v>
      </c>
      <c r="C17" s="2">
        <v>172.75</v>
      </c>
      <c r="D17" s="2">
        <v>58</v>
      </c>
      <c r="E17" s="2">
        <v>73.75</v>
      </c>
      <c r="F17" s="2">
        <v>168.25</v>
      </c>
      <c r="G17" s="2">
        <v>54.75</v>
      </c>
      <c r="H17" s="2">
        <v>85.75</v>
      </c>
      <c r="I17" s="2">
        <v>168.5</v>
      </c>
      <c r="J17" s="2">
        <v>56.5</v>
      </c>
      <c r="K17" s="2">
        <v>92.5</v>
      </c>
      <c r="L17" s="11" t="s">
        <v>68</v>
      </c>
      <c r="M17" s="11" t="s">
        <v>68</v>
      </c>
      <c r="N17" s="11" t="s">
        <v>68</v>
      </c>
    </row>
    <row r="18" spans="1:14" x14ac:dyDescent="0.25">
      <c r="A18" s="3" t="s">
        <v>17</v>
      </c>
      <c r="B18" s="3" t="s">
        <v>18</v>
      </c>
      <c r="C18" s="2">
        <v>161</v>
      </c>
      <c r="D18" s="2">
        <v>43.75</v>
      </c>
      <c r="E18" s="2">
        <v>189</v>
      </c>
      <c r="F18" s="2">
        <v>172.75</v>
      </c>
      <c r="G18" s="2">
        <v>42.25</v>
      </c>
      <c r="H18" s="2">
        <v>233.75</v>
      </c>
      <c r="I18" s="2">
        <v>171.75</v>
      </c>
      <c r="J18" s="2">
        <v>38.75</v>
      </c>
      <c r="K18" s="2">
        <v>244</v>
      </c>
      <c r="L18" s="11" t="s">
        <v>74</v>
      </c>
      <c r="M18" s="11" t="s">
        <v>70</v>
      </c>
      <c r="N18" s="11" t="s">
        <v>68</v>
      </c>
    </row>
    <row r="19" spans="1:14" x14ac:dyDescent="0.25">
      <c r="A19" s="3" t="s">
        <v>8</v>
      </c>
      <c r="B19" s="3" t="s">
        <v>19</v>
      </c>
      <c r="C19" s="2">
        <v>233</v>
      </c>
      <c r="D19" s="2">
        <v>63.5</v>
      </c>
      <c r="E19" s="2">
        <v>118</v>
      </c>
      <c r="F19" s="2">
        <v>228</v>
      </c>
      <c r="G19" s="2">
        <v>64</v>
      </c>
      <c r="H19" s="2">
        <v>116.75</v>
      </c>
      <c r="I19" s="2">
        <v>222</v>
      </c>
      <c r="J19" s="2">
        <v>59</v>
      </c>
      <c r="K19" s="2">
        <v>109.25</v>
      </c>
      <c r="L19" s="11" t="s">
        <v>68</v>
      </c>
      <c r="M19" s="11" t="s">
        <v>70</v>
      </c>
      <c r="N19" s="11" t="s">
        <v>75</v>
      </c>
    </row>
    <row r="20" spans="1:14" x14ac:dyDescent="0.25">
      <c r="A20" s="3" t="s">
        <v>17</v>
      </c>
      <c r="B20" s="3" t="s">
        <v>18</v>
      </c>
      <c r="C20" s="2">
        <v>176</v>
      </c>
      <c r="D20" s="2">
        <v>52.5</v>
      </c>
      <c r="E20" s="2">
        <v>109.5</v>
      </c>
      <c r="F20" s="2">
        <v>166.25</v>
      </c>
      <c r="G20" s="2">
        <v>45.25</v>
      </c>
      <c r="H20" s="2">
        <v>119.75</v>
      </c>
      <c r="I20" s="2">
        <v>162.5</v>
      </c>
      <c r="J20" s="2">
        <v>46</v>
      </c>
      <c r="K20" s="2">
        <v>103.75</v>
      </c>
      <c r="L20" s="11" t="s">
        <v>68</v>
      </c>
      <c r="M20" s="11" t="s">
        <v>74</v>
      </c>
      <c r="N20" s="11" t="s">
        <v>69</v>
      </c>
    </row>
    <row r="21" spans="1:14" x14ac:dyDescent="0.25">
      <c r="A21" s="3" t="s">
        <v>8</v>
      </c>
      <c r="B21" s="3" t="s">
        <v>18</v>
      </c>
      <c r="C21" s="2">
        <v>152.25</v>
      </c>
      <c r="D21" s="2">
        <v>56</v>
      </c>
      <c r="E21" s="2">
        <v>64</v>
      </c>
      <c r="F21" s="2">
        <v>153</v>
      </c>
      <c r="G21" s="2">
        <v>54.75</v>
      </c>
      <c r="H21" s="2">
        <v>79.25</v>
      </c>
      <c r="I21" s="2">
        <v>148.25</v>
      </c>
      <c r="J21" s="2">
        <v>58.5</v>
      </c>
      <c r="K21" s="2">
        <v>69.75</v>
      </c>
      <c r="L21" s="11" t="s">
        <v>70</v>
      </c>
      <c r="M21" s="11" t="s">
        <v>68</v>
      </c>
      <c r="N21" s="11" t="s">
        <v>68</v>
      </c>
    </row>
    <row r="22" spans="1:14" x14ac:dyDescent="0.25">
      <c r="A22" s="3" t="s">
        <v>8</v>
      </c>
      <c r="B22" s="3" t="s">
        <v>18</v>
      </c>
      <c r="C22" s="2">
        <v>206.75</v>
      </c>
      <c r="D22" s="2">
        <v>68.5</v>
      </c>
      <c r="E22" s="2">
        <v>103.25</v>
      </c>
      <c r="F22" s="2">
        <v>202</v>
      </c>
      <c r="G22" s="2">
        <v>71.25</v>
      </c>
      <c r="H22" s="2">
        <v>114.75</v>
      </c>
      <c r="I22" s="2">
        <v>187.75</v>
      </c>
      <c r="J22" s="2">
        <v>58</v>
      </c>
      <c r="K22" s="2">
        <v>124.25</v>
      </c>
      <c r="L22" s="11" t="s">
        <v>69</v>
      </c>
      <c r="M22" s="11" t="s">
        <v>70</v>
      </c>
      <c r="N22" s="11" t="s">
        <v>68</v>
      </c>
    </row>
    <row r="23" spans="1:14" x14ac:dyDescent="0.25">
      <c r="A23" s="3" t="s">
        <v>8</v>
      </c>
      <c r="B23" s="3" t="s">
        <v>18</v>
      </c>
      <c r="C23" s="2">
        <v>188.75</v>
      </c>
      <c r="D23" s="2">
        <v>41.25</v>
      </c>
      <c r="E23" s="2">
        <v>94</v>
      </c>
      <c r="F23" s="2">
        <v>191.5</v>
      </c>
      <c r="G23" s="2">
        <v>42.25</v>
      </c>
      <c r="H23" s="2">
        <v>95.25</v>
      </c>
      <c r="I23" s="2">
        <v>186.5</v>
      </c>
      <c r="J23" s="2">
        <v>42</v>
      </c>
      <c r="K23" s="2">
        <v>98.75</v>
      </c>
      <c r="L23" s="11" t="s">
        <v>68</v>
      </c>
      <c r="M23" s="11" t="s">
        <v>74</v>
      </c>
      <c r="N23" s="11" t="s">
        <v>74</v>
      </c>
    </row>
    <row r="24" spans="1:14" x14ac:dyDescent="0.25">
      <c r="A24" s="3" t="s">
        <v>17</v>
      </c>
      <c r="B24" s="3" t="s">
        <v>18</v>
      </c>
      <c r="C24" s="2">
        <v>163.5</v>
      </c>
      <c r="D24" s="2">
        <v>49.5</v>
      </c>
      <c r="E24" s="2">
        <v>97</v>
      </c>
      <c r="F24" s="2">
        <v>154.5</v>
      </c>
      <c r="G24" s="2">
        <v>46.25</v>
      </c>
      <c r="H24" s="2">
        <v>90</v>
      </c>
      <c r="I24" s="2">
        <v>157.5</v>
      </c>
      <c r="J24" s="2">
        <v>45</v>
      </c>
      <c r="K24" s="2">
        <v>118</v>
      </c>
      <c r="L24" s="11" t="s">
        <v>69</v>
      </c>
      <c r="M24" s="11" t="s">
        <v>68</v>
      </c>
      <c r="N24" s="11" t="s">
        <v>70</v>
      </c>
    </row>
    <row r="25" spans="1:14" x14ac:dyDescent="0.25">
      <c r="A25" s="3" t="s">
        <v>17</v>
      </c>
      <c r="B25" s="3" t="s">
        <v>18</v>
      </c>
      <c r="C25" s="2">
        <v>185.25</v>
      </c>
      <c r="D25" s="2">
        <v>55.75</v>
      </c>
      <c r="E25" s="2">
        <v>165.75</v>
      </c>
      <c r="F25" s="2">
        <v>177</v>
      </c>
      <c r="G25" s="2">
        <v>54.5</v>
      </c>
      <c r="H25" s="2">
        <v>153.25</v>
      </c>
      <c r="I25" s="2">
        <v>156</v>
      </c>
      <c r="J25" s="2">
        <v>51.5</v>
      </c>
      <c r="K25" s="2">
        <v>157.25</v>
      </c>
      <c r="L25" s="11" t="s">
        <v>74</v>
      </c>
      <c r="M25" s="11" t="s">
        <v>68</v>
      </c>
      <c r="N25" s="11" t="s">
        <v>75</v>
      </c>
    </row>
    <row r="26" spans="1:14" x14ac:dyDescent="0.25">
      <c r="A26" s="3" t="s">
        <v>8</v>
      </c>
      <c r="B26" s="3" t="s">
        <v>18</v>
      </c>
      <c r="C26" s="2">
        <v>193.25</v>
      </c>
      <c r="D26" s="2">
        <v>59.75</v>
      </c>
      <c r="E26" s="2">
        <v>131.25</v>
      </c>
      <c r="F26" s="2">
        <v>177.5</v>
      </c>
      <c r="G26" s="2">
        <v>57.5</v>
      </c>
      <c r="H26" s="2">
        <v>132.5</v>
      </c>
      <c r="I26" s="2">
        <v>165</v>
      </c>
      <c r="J26" s="2">
        <v>54.5</v>
      </c>
      <c r="K26" s="2">
        <v>101</v>
      </c>
      <c r="L26" s="11" t="s">
        <v>68</v>
      </c>
      <c r="M26" s="11" t="s">
        <v>74</v>
      </c>
      <c r="N26" s="11" t="s">
        <v>69</v>
      </c>
    </row>
    <row r="27" spans="1:14" x14ac:dyDescent="0.25">
      <c r="A27" s="3" t="s">
        <v>8</v>
      </c>
      <c r="B27" s="3" t="s">
        <v>19</v>
      </c>
      <c r="C27" s="2">
        <v>233</v>
      </c>
      <c r="D27" s="2">
        <v>56.75</v>
      </c>
      <c r="E27" s="2">
        <v>50.5</v>
      </c>
      <c r="F27" s="2">
        <v>203.25</v>
      </c>
      <c r="G27" s="2">
        <v>45.75</v>
      </c>
      <c r="H27" s="2">
        <v>68</v>
      </c>
      <c r="I27" s="2">
        <v>184.25</v>
      </c>
      <c r="J27" s="2">
        <v>45.25</v>
      </c>
      <c r="K27" s="2">
        <v>59.75</v>
      </c>
      <c r="L27" s="11" t="s">
        <v>75</v>
      </c>
      <c r="M27" s="11" t="s">
        <v>74</v>
      </c>
      <c r="N27" s="11" t="s">
        <v>68</v>
      </c>
    </row>
    <row r="28" spans="1:14" x14ac:dyDescent="0.25">
      <c r="A28" s="3" t="s">
        <v>8</v>
      </c>
      <c r="B28" s="3" t="s">
        <v>18</v>
      </c>
      <c r="C28" s="2">
        <v>170.5</v>
      </c>
      <c r="D28" s="2">
        <v>35.75</v>
      </c>
      <c r="E28" s="2">
        <v>106.75</v>
      </c>
      <c r="F28" s="2">
        <v>157</v>
      </c>
      <c r="G28" s="2">
        <v>31.5</v>
      </c>
      <c r="H28" s="2">
        <v>133.5</v>
      </c>
      <c r="I28" s="2">
        <v>154</v>
      </c>
      <c r="J28" s="2">
        <v>29.75</v>
      </c>
      <c r="K28" s="2">
        <v>131</v>
      </c>
      <c r="L28" s="11" t="s">
        <v>69</v>
      </c>
      <c r="M28" s="11" t="s">
        <v>70</v>
      </c>
      <c r="N28" s="11" t="s">
        <v>68</v>
      </c>
    </row>
    <row r="29" spans="1:14" x14ac:dyDescent="0.25">
      <c r="A29" s="3" t="s">
        <v>8</v>
      </c>
      <c r="B29" s="3" t="s">
        <v>19</v>
      </c>
      <c r="C29" s="2">
        <v>228</v>
      </c>
      <c r="D29" s="2">
        <v>55</v>
      </c>
      <c r="E29" s="2">
        <v>74.5</v>
      </c>
      <c r="F29" s="2">
        <v>232.75</v>
      </c>
      <c r="G29" s="2">
        <v>54.5</v>
      </c>
      <c r="H29" s="2">
        <v>74.25</v>
      </c>
      <c r="I29" s="2">
        <v>221.25</v>
      </c>
      <c r="J29" s="2">
        <v>49.25</v>
      </c>
      <c r="K29" s="2">
        <v>61.75</v>
      </c>
      <c r="L29" s="11" t="s">
        <v>70</v>
      </c>
      <c r="M29" s="11" t="s">
        <v>70</v>
      </c>
      <c r="N29" s="11" t="s">
        <v>70</v>
      </c>
    </row>
    <row r="30" spans="1:14" x14ac:dyDescent="0.25">
      <c r="A30" s="3" t="s">
        <v>17</v>
      </c>
      <c r="B30" s="3" t="s">
        <v>18</v>
      </c>
      <c r="C30" s="2">
        <v>158.5</v>
      </c>
      <c r="D30" s="2">
        <v>50.5</v>
      </c>
      <c r="E30" s="2">
        <v>41.75</v>
      </c>
      <c r="F30" s="2">
        <v>123.5</v>
      </c>
      <c r="G30" s="2">
        <v>36.25</v>
      </c>
      <c r="H30" s="2">
        <v>45.5</v>
      </c>
      <c r="I30" s="2">
        <v>127.5</v>
      </c>
      <c r="J30" s="2">
        <v>35.25</v>
      </c>
      <c r="K30" s="2">
        <v>68.75</v>
      </c>
      <c r="L30" s="11" t="s">
        <v>70</v>
      </c>
      <c r="M30" s="11" t="s">
        <v>69</v>
      </c>
      <c r="N30" s="11" t="s">
        <v>68</v>
      </c>
    </row>
    <row r="31" spans="1:14" x14ac:dyDescent="0.25">
      <c r="A31" s="3" t="s">
        <v>8</v>
      </c>
      <c r="B31" s="3" t="s">
        <v>19</v>
      </c>
      <c r="C31" s="2">
        <v>231</v>
      </c>
      <c r="D31" s="2">
        <v>62.25</v>
      </c>
      <c r="E31" s="2">
        <v>67</v>
      </c>
      <c r="F31" s="2">
        <v>209.75</v>
      </c>
      <c r="G31" s="2">
        <v>55</v>
      </c>
      <c r="H31" s="2">
        <v>73</v>
      </c>
      <c r="I31" s="2">
        <v>203.25</v>
      </c>
      <c r="J31" s="2">
        <v>49.5</v>
      </c>
      <c r="K31" s="2">
        <v>96</v>
      </c>
      <c r="L31" s="11" t="s">
        <v>68</v>
      </c>
      <c r="M31" s="11" t="s">
        <v>69</v>
      </c>
      <c r="N31" s="11" t="s">
        <v>74</v>
      </c>
    </row>
    <row r="32" spans="1:14" x14ac:dyDescent="0.25">
      <c r="A32" s="3" t="s">
        <v>17</v>
      </c>
      <c r="B32" s="3" t="s">
        <v>19</v>
      </c>
      <c r="C32" s="2">
        <v>228.25</v>
      </c>
      <c r="D32" s="2">
        <v>36.25</v>
      </c>
      <c r="E32" s="2">
        <v>102.25</v>
      </c>
      <c r="F32" s="2">
        <v>233.25</v>
      </c>
      <c r="G32" s="2">
        <v>31.5</v>
      </c>
      <c r="H32" s="2">
        <v>124.25</v>
      </c>
      <c r="I32" s="2">
        <v>200.75</v>
      </c>
      <c r="J32" s="2">
        <v>30.75</v>
      </c>
      <c r="K32" s="2">
        <v>108.75</v>
      </c>
      <c r="L32" s="11" t="s">
        <v>68</v>
      </c>
      <c r="M32" s="11" t="s">
        <v>69</v>
      </c>
      <c r="N32" s="11" t="s">
        <v>74</v>
      </c>
    </row>
    <row r="33" spans="1:14" x14ac:dyDescent="0.25">
      <c r="A33" s="3" t="s">
        <v>17</v>
      </c>
      <c r="B33" s="3" t="s">
        <v>18</v>
      </c>
      <c r="C33" s="2">
        <v>188.5</v>
      </c>
      <c r="D33" s="2">
        <v>43.5</v>
      </c>
      <c r="E33" s="2">
        <v>65</v>
      </c>
      <c r="F33" s="2">
        <v>172.75</v>
      </c>
      <c r="G33" s="2">
        <v>41.25</v>
      </c>
      <c r="H33" s="2">
        <v>65</v>
      </c>
      <c r="I33" s="2">
        <v>155.25</v>
      </c>
      <c r="J33" s="2">
        <v>38</v>
      </c>
      <c r="K33" s="2">
        <v>61</v>
      </c>
      <c r="L33" s="11" t="s">
        <v>75</v>
      </c>
      <c r="M33" s="11" t="s">
        <v>68</v>
      </c>
      <c r="N33" s="11" t="s">
        <v>74</v>
      </c>
    </row>
    <row r="34" spans="1:14" x14ac:dyDescent="0.25">
      <c r="A34" s="3" t="s">
        <v>8</v>
      </c>
      <c r="B34" s="3" t="s">
        <v>18</v>
      </c>
      <c r="C34" s="2">
        <v>189.25</v>
      </c>
      <c r="D34" s="2">
        <v>42</v>
      </c>
      <c r="E34" s="2">
        <v>74.25</v>
      </c>
      <c r="F34" s="2">
        <v>179.5</v>
      </c>
      <c r="G34" s="2">
        <v>34.75</v>
      </c>
      <c r="H34" s="2">
        <v>107.25</v>
      </c>
      <c r="I34" s="2">
        <v>168</v>
      </c>
      <c r="J34" s="2">
        <v>34</v>
      </c>
      <c r="K34" s="2">
        <v>137.25</v>
      </c>
      <c r="L34" s="11" t="s">
        <v>69</v>
      </c>
      <c r="M34" s="11" t="s">
        <v>68</v>
      </c>
      <c r="N34" s="11" t="s">
        <v>70</v>
      </c>
    </row>
    <row r="35" spans="1:14" x14ac:dyDescent="0.25">
      <c r="A35" s="3" t="s">
        <v>8</v>
      </c>
      <c r="B35" s="3" t="s">
        <v>18</v>
      </c>
      <c r="C35" s="2">
        <v>212.25</v>
      </c>
      <c r="D35" s="2">
        <v>52</v>
      </c>
      <c r="E35" s="2">
        <v>52.25</v>
      </c>
      <c r="F35" s="2">
        <v>203.5</v>
      </c>
      <c r="G35" s="2">
        <v>49.5</v>
      </c>
      <c r="H35" s="2">
        <v>62.5</v>
      </c>
      <c r="I35" s="2">
        <v>205.5</v>
      </c>
      <c r="J35" s="2">
        <v>47.5</v>
      </c>
      <c r="K35" s="2">
        <v>67</v>
      </c>
      <c r="L35" s="11" t="s">
        <v>70</v>
      </c>
      <c r="M35" s="11" t="s">
        <v>68</v>
      </c>
      <c r="N35" s="11" t="s">
        <v>68</v>
      </c>
    </row>
    <row r="36" spans="1:14" x14ac:dyDescent="0.25">
      <c r="A36" s="3" t="s">
        <v>17</v>
      </c>
      <c r="B36" s="3" t="s">
        <v>19</v>
      </c>
      <c r="C36" s="2">
        <v>221</v>
      </c>
      <c r="D36" s="2">
        <v>40.25</v>
      </c>
      <c r="E36" s="2">
        <v>87.5</v>
      </c>
      <c r="F36" s="2">
        <v>209.75</v>
      </c>
      <c r="G36" s="2">
        <v>38</v>
      </c>
      <c r="H36" s="2">
        <v>102</v>
      </c>
      <c r="I36" s="2">
        <v>219</v>
      </c>
      <c r="J36" s="2">
        <v>35</v>
      </c>
      <c r="K36" s="2">
        <v>108.25</v>
      </c>
      <c r="L36" s="11" t="s">
        <v>68</v>
      </c>
      <c r="M36" s="11" t="s">
        <v>69</v>
      </c>
      <c r="N36" s="11" t="s">
        <v>74</v>
      </c>
    </row>
    <row r="37" spans="1:14" x14ac:dyDescent="0.25">
      <c r="A37" s="3" t="s">
        <v>8</v>
      </c>
      <c r="B37" s="3" t="s">
        <v>18</v>
      </c>
      <c r="C37" s="2">
        <v>156.5</v>
      </c>
      <c r="D37" s="2">
        <v>59.25</v>
      </c>
      <c r="E37" s="2">
        <v>38</v>
      </c>
      <c r="F37" s="2">
        <v>160.5</v>
      </c>
      <c r="G37" s="2">
        <v>68</v>
      </c>
      <c r="H37" s="2">
        <v>41.5</v>
      </c>
      <c r="I37" s="2">
        <v>151.25</v>
      </c>
      <c r="J37" s="2">
        <v>59</v>
      </c>
      <c r="K37" s="2">
        <v>51.75</v>
      </c>
      <c r="L37" s="11" t="s">
        <v>75</v>
      </c>
      <c r="M37" s="11" t="s">
        <v>68</v>
      </c>
      <c r="N37" s="11" t="s">
        <v>74</v>
      </c>
    </row>
    <row r="38" spans="1:14" x14ac:dyDescent="0.25">
      <c r="A38" s="3" t="s">
        <v>17</v>
      </c>
      <c r="B38" s="3" t="s">
        <v>19</v>
      </c>
      <c r="C38" s="2">
        <v>174.5</v>
      </c>
      <c r="D38" s="2">
        <v>33.75</v>
      </c>
      <c r="E38" s="2">
        <v>91.5</v>
      </c>
      <c r="F38" s="2">
        <v>170.75</v>
      </c>
      <c r="G38" s="2">
        <v>33</v>
      </c>
      <c r="H38" s="2">
        <v>86</v>
      </c>
      <c r="I38" s="2">
        <v>166</v>
      </c>
      <c r="J38" s="2">
        <v>29.75</v>
      </c>
      <c r="K38" s="2">
        <v>89.5</v>
      </c>
      <c r="L38" s="11" t="s">
        <v>68</v>
      </c>
      <c r="M38" s="11" t="s">
        <v>75</v>
      </c>
      <c r="N38" s="11" t="s">
        <v>70</v>
      </c>
    </row>
    <row r="39" spans="1:14" x14ac:dyDescent="0.25">
      <c r="A39" s="3" t="s">
        <v>8</v>
      </c>
      <c r="B39" s="3" t="s">
        <v>19</v>
      </c>
      <c r="C39" s="2">
        <v>253</v>
      </c>
      <c r="D39" s="2">
        <v>52.5</v>
      </c>
      <c r="E39" s="2">
        <v>43.25</v>
      </c>
      <c r="F39" s="2">
        <v>215.25</v>
      </c>
      <c r="G39" s="2">
        <v>50.5</v>
      </c>
      <c r="H39" s="2">
        <v>38.25</v>
      </c>
      <c r="I39" s="2">
        <v>213</v>
      </c>
      <c r="J39" s="2">
        <v>48</v>
      </c>
      <c r="K39" s="2">
        <v>35.5</v>
      </c>
      <c r="L39" s="11" t="s">
        <v>75</v>
      </c>
      <c r="M39" s="11" t="s">
        <v>75</v>
      </c>
      <c r="N39" s="11" t="s">
        <v>75</v>
      </c>
    </row>
    <row r="40" spans="1:14" x14ac:dyDescent="0.25">
      <c r="A40" s="3" t="s">
        <v>8</v>
      </c>
      <c r="B40" s="3" t="s">
        <v>18</v>
      </c>
      <c r="C40" s="2">
        <v>187.5</v>
      </c>
      <c r="D40" s="2">
        <v>59</v>
      </c>
      <c r="E40" s="2">
        <v>35.5</v>
      </c>
      <c r="F40" s="2">
        <v>168.5</v>
      </c>
      <c r="G40" s="2">
        <v>54.25</v>
      </c>
      <c r="H40" s="2">
        <v>38</v>
      </c>
      <c r="I40" s="2">
        <v>157</v>
      </c>
      <c r="J40" s="2">
        <v>47.75</v>
      </c>
      <c r="K40" s="2">
        <v>39.75</v>
      </c>
      <c r="L40" s="11" t="s">
        <v>75</v>
      </c>
      <c r="M40" s="11" t="s">
        <v>75</v>
      </c>
      <c r="N40" s="11" t="s">
        <v>75</v>
      </c>
    </row>
    <row r="41" spans="1:14" x14ac:dyDescent="0.25">
      <c r="A41" s="3" t="s">
        <v>8</v>
      </c>
      <c r="B41" s="3" t="s">
        <v>18</v>
      </c>
      <c r="C41" s="2">
        <v>202</v>
      </c>
      <c r="D41" s="2">
        <v>51</v>
      </c>
      <c r="E41" s="2">
        <v>56</v>
      </c>
      <c r="F41" s="2">
        <v>211.75</v>
      </c>
      <c r="G41" s="2">
        <v>54.5</v>
      </c>
      <c r="H41" s="2">
        <v>58.25</v>
      </c>
      <c r="I41" s="2">
        <v>181</v>
      </c>
      <c r="J41" s="2">
        <v>49.25</v>
      </c>
      <c r="K41" s="2">
        <v>49.5</v>
      </c>
      <c r="L41" s="11" t="s">
        <v>75</v>
      </c>
      <c r="M41" s="11" t="s">
        <v>68</v>
      </c>
      <c r="N41" s="11" t="s">
        <v>74</v>
      </c>
    </row>
    <row r="42" spans="1:14" x14ac:dyDescent="0.25">
      <c r="A42" s="3" t="s">
        <v>8</v>
      </c>
      <c r="B42" s="3" t="s">
        <v>19</v>
      </c>
      <c r="C42" s="2">
        <v>186</v>
      </c>
      <c r="D42" s="2">
        <v>43.75</v>
      </c>
      <c r="E42" s="2">
        <v>54.75</v>
      </c>
      <c r="F42" s="2">
        <v>168.75</v>
      </c>
      <c r="G42" s="2">
        <v>42.5</v>
      </c>
      <c r="H42" s="2">
        <v>47.75</v>
      </c>
      <c r="I42" s="2">
        <v>156.25</v>
      </c>
      <c r="J42" s="2">
        <v>45.5</v>
      </c>
      <c r="K42" s="2">
        <v>41.25</v>
      </c>
      <c r="L42" s="11" t="s">
        <v>75</v>
      </c>
      <c r="M42" s="11" t="s">
        <v>68</v>
      </c>
      <c r="N42" s="11" t="s">
        <v>69</v>
      </c>
    </row>
    <row r="43" spans="1:14" x14ac:dyDescent="0.25">
      <c r="A43" s="3" t="s">
        <v>8</v>
      </c>
      <c r="B43" s="3" t="s">
        <v>18</v>
      </c>
      <c r="C43" s="2">
        <v>184</v>
      </c>
      <c r="D43" s="2">
        <v>43</v>
      </c>
      <c r="E43" s="2">
        <v>83.75</v>
      </c>
      <c r="F43" s="2">
        <v>164.25</v>
      </c>
      <c r="G43" s="2">
        <v>45.25</v>
      </c>
      <c r="H43" s="2">
        <v>75.25</v>
      </c>
      <c r="I43" s="2">
        <v>158</v>
      </c>
      <c r="J43" s="2">
        <v>44.25</v>
      </c>
      <c r="K43" s="2">
        <v>42.5</v>
      </c>
      <c r="L43" s="11" t="s">
        <v>75</v>
      </c>
      <c r="M43" s="11" t="s">
        <v>68</v>
      </c>
      <c r="N43" s="11" t="s">
        <v>69</v>
      </c>
    </row>
    <row r="44" spans="1:14" x14ac:dyDescent="0.25">
      <c r="A44" s="3" t="s">
        <v>8</v>
      </c>
      <c r="B44" s="3" t="s">
        <v>18</v>
      </c>
      <c r="C44" s="2">
        <v>190.25</v>
      </c>
      <c r="D44" s="2">
        <v>45.75</v>
      </c>
      <c r="E44" s="2">
        <v>74.5</v>
      </c>
      <c r="F44" s="2">
        <v>176.25</v>
      </c>
      <c r="G44" s="2">
        <v>39</v>
      </c>
      <c r="H44" s="2">
        <v>87.25</v>
      </c>
      <c r="I44" s="2">
        <v>171.75</v>
      </c>
      <c r="J44" s="2">
        <v>33.5</v>
      </c>
      <c r="K44" s="2">
        <v>123</v>
      </c>
      <c r="L44" s="11" t="s">
        <v>68</v>
      </c>
      <c r="M44" s="11" t="s">
        <v>75</v>
      </c>
      <c r="N44" s="11" t="s">
        <v>70</v>
      </c>
    </row>
    <row r="45" spans="1:14" x14ac:dyDescent="0.25">
      <c r="A45" s="3" t="s">
        <v>8</v>
      </c>
      <c r="B45" s="3" t="s">
        <v>19</v>
      </c>
      <c r="C45" s="2">
        <v>200.5</v>
      </c>
      <c r="D45" s="2">
        <v>54</v>
      </c>
      <c r="E45" s="2">
        <v>98.25</v>
      </c>
      <c r="F45" s="2">
        <v>187.5</v>
      </c>
      <c r="G45" s="2">
        <v>49.5</v>
      </c>
      <c r="H45" s="2">
        <v>94.25</v>
      </c>
      <c r="I45" s="2">
        <v>187</v>
      </c>
      <c r="J45" s="2">
        <v>44</v>
      </c>
      <c r="K45" s="2">
        <v>141</v>
      </c>
      <c r="L45" s="11" t="s">
        <v>74</v>
      </c>
      <c r="M45" s="11" t="s">
        <v>74</v>
      </c>
      <c r="N45" s="11" t="s">
        <v>74</v>
      </c>
    </row>
    <row r="46" spans="1:14" x14ac:dyDescent="0.25">
      <c r="A46" s="3" t="s">
        <v>8</v>
      </c>
      <c r="B46" s="3" t="s">
        <v>19</v>
      </c>
      <c r="C46" s="2">
        <v>220.5</v>
      </c>
      <c r="D46" s="2">
        <v>40.75</v>
      </c>
      <c r="E46" s="2">
        <v>99</v>
      </c>
      <c r="F46" s="2">
        <v>219</v>
      </c>
      <c r="G46" s="2">
        <v>38.25</v>
      </c>
      <c r="H46" s="2">
        <v>125.5</v>
      </c>
      <c r="I46" s="2">
        <v>215</v>
      </c>
      <c r="J46" s="2">
        <v>35</v>
      </c>
      <c r="K46" s="2">
        <v>123.5</v>
      </c>
      <c r="L46" s="11" t="s">
        <v>69</v>
      </c>
      <c r="M46" s="11" t="s">
        <v>69</v>
      </c>
      <c r="N46" s="11" t="s">
        <v>69</v>
      </c>
    </row>
    <row r="47" spans="1:14" x14ac:dyDescent="0.25">
      <c r="A47" s="3" t="s">
        <v>17</v>
      </c>
      <c r="B47" s="3" t="s">
        <v>19</v>
      </c>
      <c r="C47" s="2">
        <v>267.75</v>
      </c>
      <c r="D47" s="2">
        <v>35.75</v>
      </c>
      <c r="E47" s="2">
        <v>206.5</v>
      </c>
      <c r="F47" s="2">
        <v>265.75</v>
      </c>
      <c r="G47" s="2">
        <v>31.75</v>
      </c>
      <c r="H47" s="2">
        <v>289.5</v>
      </c>
      <c r="I47" s="2">
        <v>242.25</v>
      </c>
      <c r="J47" s="2">
        <v>30</v>
      </c>
      <c r="K47" s="2">
        <v>277.5</v>
      </c>
      <c r="L47" s="11" t="s">
        <v>74</v>
      </c>
      <c r="M47" s="11" t="s">
        <v>70</v>
      </c>
      <c r="N47" s="11" t="s">
        <v>68</v>
      </c>
    </row>
    <row r="48" spans="1:14" x14ac:dyDescent="0.25">
      <c r="A48" s="3" t="s">
        <v>8</v>
      </c>
      <c r="B48" s="3" t="s">
        <v>18</v>
      </c>
      <c r="C48" s="2">
        <v>205</v>
      </c>
      <c r="D48" s="2">
        <v>51.25</v>
      </c>
      <c r="E48" s="2">
        <v>89.25</v>
      </c>
      <c r="F48" s="2">
        <v>192.75</v>
      </c>
      <c r="G48" s="2">
        <v>46</v>
      </c>
      <c r="H48" s="2">
        <v>84</v>
      </c>
      <c r="I48" s="2">
        <v>192.5</v>
      </c>
      <c r="J48" s="2">
        <v>47.5</v>
      </c>
      <c r="K48" s="2">
        <v>96.5</v>
      </c>
      <c r="L48" s="11" t="s">
        <v>68</v>
      </c>
      <c r="M48" s="11" t="s">
        <v>69</v>
      </c>
      <c r="N48" s="11" t="s">
        <v>74</v>
      </c>
    </row>
    <row r="49" spans="1:14" x14ac:dyDescent="0.25">
      <c r="A49" s="3" t="s">
        <v>17</v>
      </c>
      <c r="B49" s="3" t="s">
        <v>18</v>
      </c>
      <c r="C49" s="2">
        <v>246.25</v>
      </c>
      <c r="D49" s="2">
        <v>51.5</v>
      </c>
      <c r="E49" s="2">
        <v>133</v>
      </c>
      <c r="F49" s="2">
        <v>231.75</v>
      </c>
      <c r="G49" s="2">
        <v>38</v>
      </c>
      <c r="H49" s="2">
        <v>134</v>
      </c>
      <c r="I49" s="2">
        <v>214</v>
      </c>
      <c r="J49" s="2">
        <v>42.25</v>
      </c>
      <c r="K49" s="2">
        <v>189.25</v>
      </c>
      <c r="L49" s="11" t="s">
        <v>74</v>
      </c>
      <c r="M49" s="11" t="s">
        <v>75</v>
      </c>
      <c r="N49" s="11" t="s">
        <v>68</v>
      </c>
    </row>
    <row r="50" spans="1:14" x14ac:dyDescent="0.25">
      <c r="A50" s="3" t="s">
        <v>8</v>
      </c>
      <c r="B50" s="3" t="s">
        <v>19</v>
      </c>
      <c r="C50" s="2">
        <v>262.75</v>
      </c>
      <c r="D50" s="2">
        <v>68.5</v>
      </c>
      <c r="E50" s="2">
        <v>65.5</v>
      </c>
      <c r="F50" s="2">
        <v>234.5</v>
      </c>
      <c r="G50" s="2">
        <v>58.5</v>
      </c>
      <c r="H50" s="2">
        <v>72.5</v>
      </c>
      <c r="I50" s="2">
        <v>234.25</v>
      </c>
      <c r="J50" s="2">
        <v>61.75</v>
      </c>
      <c r="K50" s="2">
        <v>67</v>
      </c>
      <c r="L50" s="11" t="s">
        <v>70</v>
      </c>
      <c r="M50" s="11" t="s">
        <v>68</v>
      </c>
      <c r="N50" s="11" t="s">
        <v>68</v>
      </c>
    </row>
    <row r="51" spans="1:14" x14ac:dyDescent="0.25">
      <c r="A51" s="3" t="s">
        <v>8</v>
      </c>
      <c r="B51" s="3" t="s">
        <v>18</v>
      </c>
      <c r="C51" s="2">
        <v>214.75</v>
      </c>
      <c r="D51" s="2">
        <v>64.75</v>
      </c>
      <c r="E51" s="2">
        <v>57.75</v>
      </c>
      <c r="F51" s="2">
        <v>193.5</v>
      </c>
      <c r="G51" s="2">
        <v>53.25</v>
      </c>
      <c r="H51" s="2">
        <v>64.75</v>
      </c>
      <c r="I51" s="2">
        <v>169</v>
      </c>
      <c r="J51" s="2">
        <v>58</v>
      </c>
      <c r="K51" s="2">
        <v>60.25</v>
      </c>
      <c r="L51" s="11" t="s">
        <v>75</v>
      </c>
      <c r="M51" s="11" t="s">
        <v>74</v>
      </c>
      <c r="N51" s="11" t="s">
        <v>68</v>
      </c>
    </row>
    <row r="52" spans="1:14" x14ac:dyDescent="0.25">
      <c r="A52" s="3" t="s">
        <v>8</v>
      </c>
      <c r="B52" s="3" t="s">
        <v>18</v>
      </c>
      <c r="C52" s="2">
        <v>219</v>
      </c>
      <c r="D52" s="2">
        <v>66</v>
      </c>
      <c r="E52" s="2">
        <v>89.75</v>
      </c>
      <c r="F52" s="2">
        <v>184</v>
      </c>
      <c r="G52" s="2">
        <v>55</v>
      </c>
      <c r="H52" s="2">
        <v>83.5</v>
      </c>
      <c r="I52" s="2">
        <v>186.5</v>
      </c>
      <c r="J52" s="2">
        <v>52.25</v>
      </c>
      <c r="K52" s="2">
        <v>80</v>
      </c>
      <c r="L52" s="11" t="s">
        <v>70</v>
      </c>
      <c r="M52" s="11" t="s">
        <v>68</v>
      </c>
      <c r="N52" s="11" t="s">
        <v>68</v>
      </c>
    </row>
    <row r="53" spans="1:14" x14ac:dyDescent="0.25">
      <c r="A53" s="3" t="s">
        <v>17</v>
      </c>
      <c r="B53" s="3" t="s">
        <v>18</v>
      </c>
      <c r="C53" s="2">
        <v>213.5</v>
      </c>
      <c r="D53" s="2">
        <v>45.5</v>
      </c>
      <c r="E53" s="2">
        <v>59.5</v>
      </c>
      <c r="F53" s="2">
        <v>196.25</v>
      </c>
      <c r="G53" s="2">
        <v>44.5</v>
      </c>
      <c r="H53" s="2">
        <v>59</v>
      </c>
      <c r="I53" s="2">
        <v>177.25</v>
      </c>
      <c r="J53" s="2">
        <v>37.75</v>
      </c>
      <c r="K53" s="2">
        <v>75.75</v>
      </c>
      <c r="L53" s="11" t="s">
        <v>68</v>
      </c>
      <c r="M53" s="11" t="s">
        <v>70</v>
      </c>
      <c r="N53" s="11" t="s">
        <v>75</v>
      </c>
    </row>
    <row r="54" spans="1:14" x14ac:dyDescent="0.25">
      <c r="A54" s="3" t="s">
        <v>8</v>
      </c>
      <c r="B54" s="3" t="s">
        <v>18</v>
      </c>
      <c r="C54" s="2">
        <v>178.5</v>
      </c>
      <c r="D54" s="2">
        <v>52</v>
      </c>
      <c r="E54" s="2">
        <v>61.75</v>
      </c>
      <c r="F54" s="2">
        <v>167.25</v>
      </c>
      <c r="G54" s="2">
        <v>53.5</v>
      </c>
      <c r="H54" s="2">
        <v>69</v>
      </c>
      <c r="I54" s="2">
        <v>164</v>
      </c>
      <c r="J54" s="2">
        <v>45.25</v>
      </c>
      <c r="K54" s="2">
        <v>83.25</v>
      </c>
      <c r="L54" s="11" t="s">
        <v>70</v>
      </c>
      <c r="M54" s="11" t="s">
        <v>69</v>
      </c>
      <c r="N54" s="11" t="s">
        <v>68</v>
      </c>
    </row>
    <row r="55" spans="1:14" x14ac:dyDescent="0.25">
      <c r="A55" s="3" t="s">
        <v>8</v>
      </c>
      <c r="B55" s="3" t="s">
        <v>18</v>
      </c>
      <c r="C55" s="2">
        <v>206.25</v>
      </c>
      <c r="D55" s="2">
        <v>59.5</v>
      </c>
      <c r="E55" s="2">
        <v>79.25</v>
      </c>
      <c r="F55" s="2">
        <v>190.5</v>
      </c>
      <c r="G55" s="2">
        <v>57.5</v>
      </c>
      <c r="H55" s="2">
        <v>82.75</v>
      </c>
      <c r="I55" s="2">
        <v>183.25</v>
      </c>
      <c r="J55" s="2">
        <v>53.75</v>
      </c>
      <c r="K55" s="2">
        <v>88.5</v>
      </c>
      <c r="L55" s="11" t="s">
        <v>68</v>
      </c>
      <c r="M55" s="11" t="s">
        <v>68</v>
      </c>
      <c r="N55" s="11" t="s">
        <v>68</v>
      </c>
    </row>
    <row r="56" spans="1:14" x14ac:dyDescent="0.25">
      <c r="A56" s="3" t="s">
        <v>8</v>
      </c>
      <c r="B56" s="3" t="s">
        <v>18</v>
      </c>
      <c r="C56" s="2">
        <v>229.5</v>
      </c>
      <c r="D56" s="2">
        <v>80</v>
      </c>
      <c r="E56" s="2">
        <v>71.75</v>
      </c>
      <c r="F56" s="2">
        <v>214.25</v>
      </c>
      <c r="G56" s="2">
        <v>71</v>
      </c>
      <c r="H56" s="2">
        <v>79</v>
      </c>
      <c r="I56" s="2">
        <v>207.25</v>
      </c>
      <c r="J56" s="2">
        <v>66.5</v>
      </c>
      <c r="K56" s="2">
        <v>73.25</v>
      </c>
      <c r="L56" s="11" t="s">
        <v>70</v>
      </c>
      <c r="M56" s="11" t="s">
        <v>68</v>
      </c>
      <c r="N56" s="11" t="s">
        <v>69</v>
      </c>
    </row>
    <row r="57" spans="1:14" x14ac:dyDescent="0.25">
      <c r="A57" s="3" t="s">
        <v>8</v>
      </c>
      <c r="B57" s="3" t="s">
        <v>18</v>
      </c>
      <c r="C57" s="2">
        <v>182.75</v>
      </c>
      <c r="D57" s="2">
        <v>51.5</v>
      </c>
      <c r="E57" s="2">
        <v>53.75</v>
      </c>
      <c r="F57" s="2">
        <v>173.75</v>
      </c>
      <c r="G57" s="2">
        <v>54.75</v>
      </c>
      <c r="H57" s="2">
        <v>56.25</v>
      </c>
      <c r="I57" s="2">
        <v>164.5</v>
      </c>
      <c r="J57" s="2">
        <v>52</v>
      </c>
      <c r="K57" s="2">
        <v>56</v>
      </c>
      <c r="L57" s="11" t="s">
        <v>75</v>
      </c>
      <c r="M57" s="11" t="s">
        <v>69</v>
      </c>
      <c r="N57" s="11" t="s">
        <v>68</v>
      </c>
    </row>
    <row r="58" spans="1:14" x14ac:dyDescent="0.25">
      <c r="A58" s="3" t="s">
        <v>17</v>
      </c>
      <c r="B58" s="3" t="s">
        <v>18</v>
      </c>
      <c r="C58" s="2">
        <v>199.25</v>
      </c>
      <c r="D58" s="2">
        <v>54.5</v>
      </c>
      <c r="E58" s="2">
        <v>61.75</v>
      </c>
      <c r="F58" s="2">
        <v>196.75</v>
      </c>
      <c r="G58" s="2">
        <v>49.75</v>
      </c>
      <c r="H58" s="2">
        <v>85.5</v>
      </c>
      <c r="I58" s="2">
        <v>182.5</v>
      </c>
      <c r="J58" s="2">
        <v>47.25</v>
      </c>
      <c r="K58" s="2">
        <v>74.25</v>
      </c>
      <c r="L58" s="11" t="s">
        <v>68</v>
      </c>
      <c r="M58" s="11" t="s">
        <v>68</v>
      </c>
      <c r="N58" s="11" t="s">
        <v>68</v>
      </c>
    </row>
    <row r="59" spans="1:14" x14ac:dyDescent="0.25">
      <c r="A59" s="3" t="s">
        <v>17</v>
      </c>
      <c r="B59" s="3" t="s">
        <v>18</v>
      </c>
      <c r="C59" s="2">
        <v>196</v>
      </c>
      <c r="D59" s="2">
        <v>39</v>
      </c>
      <c r="E59" s="2">
        <v>125.25</v>
      </c>
      <c r="F59" s="2">
        <v>189</v>
      </c>
      <c r="G59" s="2">
        <v>38.75</v>
      </c>
      <c r="H59" s="2">
        <v>166.5</v>
      </c>
      <c r="I59" s="2">
        <v>204.5</v>
      </c>
      <c r="J59" s="2">
        <v>39.5</v>
      </c>
      <c r="K59" s="2">
        <v>149.5</v>
      </c>
      <c r="L59" s="11" t="s">
        <v>74</v>
      </c>
      <c r="M59" s="11" t="s">
        <v>74</v>
      </c>
      <c r="N59" s="11" t="s">
        <v>74</v>
      </c>
    </row>
    <row r="60" spans="1:14" x14ac:dyDescent="0.25">
      <c r="A60" s="3" t="s">
        <v>17</v>
      </c>
      <c r="B60" s="3" t="s">
        <v>18</v>
      </c>
      <c r="C60" s="2">
        <v>196</v>
      </c>
      <c r="D60" s="2">
        <v>49.5</v>
      </c>
      <c r="E60" s="2">
        <v>53.75</v>
      </c>
      <c r="F60" s="2">
        <v>198</v>
      </c>
      <c r="G60" s="2">
        <v>50.5</v>
      </c>
      <c r="H60" s="2">
        <v>59</v>
      </c>
      <c r="I60" s="2">
        <v>177.25</v>
      </c>
      <c r="J60" s="2">
        <v>49</v>
      </c>
      <c r="K60" s="2">
        <v>50</v>
      </c>
      <c r="L60" s="11" t="s">
        <v>75</v>
      </c>
      <c r="M60" s="11" t="s">
        <v>74</v>
      </c>
      <c r="N60" s="11" t="s">
        <v>68</v>
      </c>
    </row>
    <row r="61" spans="1:14" x14ac:dyDescent="0.25">
      <c r="A61" s="3" t="s">
        <v>8</v>
      </c>
      <c r="B61" s="3" t="s">
        <v>18</v>
      </c>
      <c r="C61" s="2">
        <v>191.5</v>
      </c>
      <c r="D61" s="2">
        <v>62</v>
      </c>
      <c r="E61" s="2">
        <v>47.75</v>
      </c>
      <c r="F61" s="2">
        <v>169</v>
      </c>
      <c r="G61" s="2">
        <v>51.5</v>
      </c>
      <c r="H61" s="2">
        <v>69.5</v>
      </c>
      <c r="I61" s="2">
        <v>159.5</v>
      </c>
      <c r="J61" s="2">
        <v>52.75</v>
      </c>
      <c r="K61" s="2">
        <v>45</v>
      </c>
      <c r="L61" s="11" t="s">
        <v>75</v>
      </c>
      <c r="M61" s="11" t="s">
        <v>68</v>
      </c>
      <c r="N61" s="11" t="s">
        <v>69</v>
      </c>
    </row>
    <row r="62" spans="1:14" x14ac:dyDescent="0.25">
      <c r="A62" s="3" t="s">
        <v>8</v>
      </c>
      <c r="B62" s="3" t="s">
        <v>19</v>
      </c>
      <c r="C62" s="2">
        <v>192</v>
      </c>
      <c r="D62" s="2">
        <v>37.75</v>
      </c>
      <c r="E62" s="2">
        <v>72</v>
      </c>
      <c r="F62" s="2">
        <v>182.25</v>
      </c>
      <c r="G62" s="2">
        <v>35.75</v>
      </c>
      <c r="H62" s="2">
        <v>93.5</v>
      </c>
      <c r="I62" s="2">
        <v>193.5</v>
      </c>
      <c r="J62" s="2">
        <v>34</v>
      </c>
      <c r="K62" s="2">
        <v>94</v>
      </c>
      <c r="L62" s="11" t="s">
        <v>68</v>
      </c>
      <c r="M62" s="11" t="s">
        <v>68</v>
      </c>
      <c r="N62" s="11" t="s">
        <v>68</v>
      </c>
    </row>
    <row r="63" spans="1:14" x14ac:dyDescent="0.25">
      <c r="A63" s="3" t="s">
        <v>8</v>
      </c>
      <c r="B63" s="3" t="s">
        <v>18</v>
      </c>
      <c r="C63" s="2">
        <v>166.5</v>
      </c>
      <c r="D63" s="2">
        <v>68.5</v>
      </c>
      <c r="E63" s="2">
        <v>49.5</v>
      </c>
      <c r="F63" s="2">
        <v>156.75</v>
      </c>
      <c r="G63" s="2">
        <v>61</v>
      </c>
      <c r="H63" s="2">
        <v>60.75</v>
      </c>
      <c r="I63" s="2">
        <v>154.75</v>
      </c>
      <c r="J63" s="2">
        <v>60.75</v>
      </c>
      <c r="K63" s="2">
        <v>56.75</v>
      </c>
      <c r="L63" s="11" t="s">
        <v>75</v>
      </c>
      <c r="M63" s="11" t="s">
        <v>69</v>
      </c>
      <c r="N63" s="11" t="s">
        <v>68</v>
      </c>
    </row>
    <row r="64" spans="1:14" x14ac:dyDescent="0.25">
      <c r="A64" s="3" t="s">
        <v>17</v>
      </c>
      <c r="B64" s="3" t="s">
        <v>18</v>
      </c>
      <c r="C64" s="2">
        <v>194.25</v>
      </c>
      <c r="D64" s="2">
        <v>39</v>
      </c>
      <c r="E64" s="2">
        <v>129.5</v>
      </c>
      <c r="F64" s="2">
        <v>179.5</v>
      </c>
      <c r="G64" s="2">
        <v>38.75</v>
      </c>
      <c r="H64" s="2">
        <v>114.75</v>
      </c>
      <c r="I64" s="2">
        <v>207.75</v>
      </c>
      <c r="J64" s="2">
        <v>38.75</v>
      </c>
      <c r="K64" s="2">
        <v>149</v>
      </c>
      <c r="L64" s="11" t="s">
        <v>74</v>
      </c>
      <c r="M64" s="11" t="s">
        <v>74</v>
      </c>
      <c r="N64" s="11" t="s">
        <v>74</v>
      </c>
    </row>
    <row r="65" spans="1:14" x14ac:dyDescent="0.25">
      <c r="A65" s="3" t="s">
        <v>17</v>
      </c>
      <c r="B65" s="3" t="s">
        <v>19</v>
      </c>
      <c r="C65" s="2">
        <v>192.5</v>
      </c>
      <c r="D65" s="2">
        <v>36.25</v>
      </c>
      <c r="E65" s="2">
        <v>102.5</v>
      </c>
      <c r="F65" s="2">
        <v>189.5</v>
      </c>
      <c r="G65" s="2">
        <v>34.5</v>
      </c>
      <c r="H65" s="2">
        <v>120.5</v>
      </c>
      <c r="I65" s="2">
        <v>176.25</v>
      </c>
      <c r="J65" s="2">
        <v>32.75</v>
      </c>
      <c r="K65" s="2">
        <v>116.25</v>
      </c>
      <c r="L65" s="11" t="s">
        <v>69</v>
      </c>
      <c r="M65" s="11" t="s">
        <v>68</v>
      </c>
      <c r="N65" s="11" t="s">
        <v>68</v>
      </c>
    </row>
    <row r="66" spans="1:14" x14ac:dyDescent="0.25">
      <c r="A66" s="3" t="s">
        <v>8</v>
      </c>
      <c r="B66" s="3" t="s">
        <v>18</v>
      </c>
      <c r="C66" s="2">
        <v>194.75</v>
      </c>
      <c r="D66" s="2">
        <v>55.25</v>
      </c>
      <c r="E66" s="2">
        <v>80.5</v>
      </c>
      <c r="F66" s="2">
        <v>176.75</v>
      </c>
      <c r="G66" s="2">
        <v>51</v>
      </c>
      <c r="H66" s="2">
        <v>87.25</v>
      </c>
      <c r="I66" s="2">
        <v>160.75</v>
      </c>
      <c r="J66" s="2">
        <v>48.75</v>
      </c>
      <c r="K66" s="2">
        <v>75.25</v>
      </c>
      <c r="L66" s="11" t="s">
        <v>70</v>
      </c>
      <c r="M66" s="11" t="s">
        <v>68</v>
      </c>
      <c r="N66" s="11" t="s">
        <v>68</v>
      </c>
    </row>
    <row r="67" spans="1:14" x14ac:dyDescent="0.25">
      <c r="A67" s="3" t="s">
        <v>8</v>
      </c>
      <c r="B67" s="3" t="s">
        <v>18</v>
      </c>
      <c r="C67" s="2">
        <v>163.25</v>
      </c>
      <c r="D67" s="2">
        <v>55</v>
      </c>
      <c r="E67" s="2">
        <v>58.75</v>
      </c>
      <c r="F67" s="2">
        <v>148.5</v>
      </c>
      <c r="G67" s="2">
        <v>48.75</v>
      </c>
      <c r="H67" s="2">
        <v>58.5</v>
      </c>
      <c r="I67" s="2">
        <v>134.75</v>
      </c>
      <c r="J67" s="2">
        <v>48</v>
      </c>
      <c r="K67" s="2">
        <v>57.5</v>
      </c>
      <c r="L67" s="11" t="s">
        <v>75</v>
      </c>
      <c r="M67" s="11" t="s">
        <v>74</v>
      </c>
      <c r="N67" s="11" t="s">
        <v>68</v>
      </c>
    </row>
    <row r="68" spans="1:14" x14ac:dyDescent="0.25">
      <c r="A68" s="3" t="s">
        <v>8</v>
      </c>
      <c r="B68" s="3" t="s">
        <v>18</v>
      </c>
      <c r="C68" s="2">
        <v>178.75</v>
      </c>
      <c r="D68" s="2">
        <v>58.5</v>
      </c>
      <c r="E68" s="2">
        <v>58.25</v>
      </c>
      <c r="F68" s="2">
        <v>170</v>
      </c>
      <c r="G68" s="2">
        <v>52.5</v>
      </c>
      <c r="H68" s="2">
        <v>72.5</v>
      </c>
      <c r="I68" s="2">
        <v>161.75</v>
      </c>
      <c r="J68" s="2">
        <v>47.5</v>
      </c>
      <c r="K68" s="2">
        <v>49.5</v>
      </c>
      <c r="L68" s="11" t="s">
        <v>75</v>
      </c>
      <c r="M68" s="11" t="s">
        <v>68</v>
      </c>
      <c r="N68" s="11" t="s">
        <v>74</v>
      </c>
    </row>
    <row r="69" spans="1:14" x14ac:dyDescent="0.25">
      <c r="A69" s="3" t="s">
        <v>8</v>
      </c>
      <c r="B69" s="3" t="s">
        <v>18</v>
      </c>
      <c r="C69" s="2">
        <v>183.75</v>
      </c>
      <c r="D69" s="2">
        <v>55.75</v>
      </c>
      <c r="E69" s="2">
        <v>53</v>
      </c>
      <c r="F69" s="2">
        <v>155.75</v>
      </c>
      <c r="G69" s="2">
        <v>48.25</v>
      </c>
      <c r="H69" s="2">
        <v>49.25</v>
      </c>
      <c r="I69" s="2">
        <v>149.5</v>
      </c>
      <c r="J69" s="2">
        <v>43.25</v>
      </c>
      <c r="K69" s="2">
        <v>61.5</v>
      </c>
      <c r="L69" s="11" t="s">
        <v>70</v>
      </c>
      <c r="M69" s="11" t="s">
        <v>70</v>
      </c>
      <c r="N69" s="11" t="s">
        <v>70</v>
      </c>
    </row>
    <row r="70" spans="1:14" x14ac:dyDescent="0.25">
      <c r="A70" s="3" t="s">
        <v>17</v>
      </c>
      <c r="B70" s="3" t="s">
        <v>19</v>
      </c>
      <c r="C70" s="2">
        <v>185.75</v>
      </c>
      <c r="D70" s="2">
        <v>44.75</v>
      </c>
      <c r="E70" s="2">
        <v>36.5</v>
      </c>
      <c r="F70" s="2">
        <v>183.25</v>
      </c>
      <c r="G70" s="2">
        <v>40.25</v>
      </c>
      <c r="H70" s="2">
        <v>73.75</v>
      </c>
      <c r="I70" s="2">
        <v>171.5</v>
      </c>
      <c r="J70" s="2">
        <v>39</v>
      </c>
      <c r="K70" s="2">
        <v>64.75</v>
      </c>
      <c r="L70" s="11" t="s">
        <v>70</v>
      </c>
      <c r="M70" s="11" t="s">
        <v>68</v>
      </c>
      <c r="N70" s="11" t="s">
        <v>69</v>
      </c>
    </row>
    <row r="71" spans="1:14" x14ac:dyDescent="0.25">
      <c r="A71" s="3" t="s">
        <v>17</v>
      </c>
      <c r="B71" s="3" t="s">
        <v>19</v>
      </c>
      <c r="C71" s="2">
        <v>230</v>
      </c>
      <c r="D71" s="2">
        <v>49.5</v>
      </c>
      <c r="E71" s="2">
        <v>133.25</v>
      </c>
      <c r="F71" s="2">
        <v>222.5</v>
      </c>
      <c r="G71" s="2">
        <v>41.5</v>
      </c>
      <c r="H71" s="2">
        <v>187.75</v>
      </c>
      <c r="I71" s="2">
        <v>213</v>
      </c>
      <c r="J71" s="2">
        <v>41</v>
      </c>
      <c r="K71" s="2">
        <v>166.25</v>
      </c>
      <c r="L71" s="11" t="s">
        <v>74</v>
      </c>
      <c r="M71" s="11" t="s">
        <v>68</v>
      </c>
      <c r="N71" s="11" t="s">
        <v>75</v>
      </c>
    </row>
    <row r="72" spans="1:14" x14ac:dyDescent="0.25">
      <c r="A72" s="3" t="s">
        <v>17</v>
      </c>
      <c r="B72" s="3" t="s">
        <v>18</v>
      </c>
      <c r="C72" s="2">
        <v>194.5</v>
      </c>
      <c r="D72" s="2">
        <v>35.5</v>
      </c>
      <c r="E72" s="2">
        <v>204.75</v>
      </c>
      <c r="F72" s="2">
        <v>171.5</v>
      </c>
      <c r="G72" s="2">
        <v>33.5</v>
      </c>
      <c r="H72" s="2">
        <v>177.5</v>
      </c>
      <c r="I72" s="2">
        <v>153</v>
      </c>
      <c r="J72" s="2">
        <v>31.75</v>
      </c>
      <c r="K72" s="2">
        <v>153</v>
      </c>
      <c r="L72" s="11" t="s">
        <v>74</v>
      </c>
      <c r="M72" s="11" t="s">
        <v>74</v>
      </c>
      <c r="N72" s="11" t="s">
        <v>74</v>
      </c>
    </row>
    <row r="73" spans="1:14" x14ac:dyDescent="0.25">
      <c r="A73" s="3" t="s">
        <v>17</v>
      </c>
      <c r="B73" s="3" t="s">
        <v>19</v>
      </c>
      <c r="C73" s="2">
        <v>175.25</v>
      </c>
      <c r="D73" s="2">
        <v>38.25</v>
      </c>
      <c r="E73" s="2">
        <v>106</v>
      </c>
      <c r="F73" s="2">
        <v>167.5</v>
      </c>
      <c r="G73" s="2">
        <v>34.75</v>
      </c>
      <c r="H73" s="2">
        <v>115.75</v>
      </c>
      <c r="I73" s="2">
        <v>176.5</v>
      </c>
      <c r="J73" s="2">
        <v>35.75</v>
      </c>
      <c r="K73" s="2">
        <v>117.75</v>
      </c>
      <c r="L73" s="11" t="s">
        <v>69</v>
      </c>
      <c r="M73" s="11" t="s">
        <v>68</v>
      </c>
      <c r="N73" s="11" t="s">
        <v>70</v>
      </c>
    </row>
    <row r="74" spans="1:14" x14ac:dyDescent="0.25">
      <c r="A74" s="3" t="s">
        <v>17</v>
      </c>
      <c r="B74" s="3" t="s">
        <v>19</v>
      </c>
      <c r="C74" s="2">
        <v>217.75</v>
      </c>
      <c r="D74" s="2">
        <v>41</v>
      </c>
      <c r="E74" s="2">
        <v>133.5</v>
      </c>
      <c r="F74" s="2">
        <v>189.75</v>
      </c>
      <c r="G74" s="2">
        <v>43</v>
      </c>
      <c r="H74" s="2">
        <v>100</v>
      </c>
      <c r="I74" s="2">
        <v>202.75</v>
      </c>
      <c r="J74" s="2">
        <v>41.5</v>
      </c>
      <c r="K74" s="2">
        <v>112</v>
      </c>
      <c r="L74" s="11" t="s">
        <v>69</v>
      </c>
      <c r="M74" s="11" t="s">
        <v>69</v>
      </c>
      <c r="N74" s="11" t="s">
        <v>69</v>
      </c>
    </row>
    <row r="75" spans="1:14" x14ac:dyDescent="0.25">
      <c r="A75" s="3" t="s">
        <v>8</v>
      </c>
      <c r="B75" s="3" t="s">
        <v>19</v>
      </c>
      <c r="C75" s="2">
        <v>243.25</v>
      </c>
      <c r="D75" s="2">
        <v>51.75</v>
      </c>
      <c r="E75" s="2">
        <v>118.5</v>
      </c>
      <c r="F75" s="2">
        <v>242.25</v>
      </c>
      <c r="G75" s="2">
        <v>48.25</v>
      </c>
      <c r="H75" s="2">
        <v>134.5</v>
      </c>
      <c r="I75" s="2">
        <v>242.25</v>
      </c>
      <c r="J75" s="2">
        <v>45.5</v>
      </c>
      <c r="K75" s="2">
        <v>136</v>
      </c>
      <c r="L75" s="11" t="s">
        <v>69</v>
      </c>
      <c r="M75" s="11" t="s">
        <v>68</v>
      </c>
      <c r="N75" s="11" t="s">
        <v>70</v>
      </c>
    </row>
    <row r="76" spans="1:14" x14ac:dyDescent="0.25">
      <c r="A76" s="3" t="s">
        <v>17</v>
      </c>
      <c r="B76" s="3" t="s">
        <v>19</v>
      </c>
      <c r="C76" s="2">
        <v>206.75</v>
      </c>
      <c r="D76" s="2">
        <v>50.5</v>
      </c>
      <c r="E76" s="2">
        <v>71.25</v>
      </c>
      <c r="F76" s="2">
        <v>205.75</v>
      </c>
      <c r="G76" s="2">
        <v>50.5</v>
      </c>
      <c r="H76" s="2">
        <v>71.5</v>
      </c>
      <c r="I76" s="2">
        <v>184</v>
      </c>
      <c r="J76" s="2">
        <v>46.5</v>
      </c>
      <c r="K76" s="2">
        <v>84.25</v>
      </c>
      <c r="L76" s="11" t="s">
        <v>68</v>
      </c>
      <c r="M76" s="11" t="s">
        <v>70</v>
      </c>
      <c r="N76" s="11" t="s">
        <v>75</v>
      </c>
    </row>
    <row r="77" spans="1:14" x14ac:dyDescent="0.25">
      <c r="A77" s="3" t="s">
        <v>8</v>
      </c>
      <c r="B77" s="3" t="s">
        <v>18</v>
      </c>
      <c r="C77" s="2">
        <v>194</v>
      </c>
      <c r="D77" s="2">
        <v>61.125</v>
      </c>
      <c r="E77" s="2">
        <v>73</v>
      </c>
      <c r="F77" s="2">
        <v>181.375</v>
      </c>
      <c r="G77" s="2">
        <v>61.625</v>
      </c>
      <c r="H77" s="2">
        <v>71.625</v>
      </c>
      <c r="I77" s="2">
        <v>167.75</v>
      </c>
      <c r="J77" s="2">
        <v>52.25</v>
      </c>
      <c r="K77" s="2">
        <v>88.125</v>
      </c>
      <c r="L77" s="11" t="s">
        <v>68</v>
      </c>
      <c r="M77" s="11" t="s">
        <v>68</v>
      </c>
      <c r="N77" s="11" t="s">
        <v>68</v>
      </c>
    </row>
    <row r="78" spans="1:14" x14ac:dyDescent="0.25">
      <c r="A78" s="3" t="s">
        <v>17</v>
      </c>
      <c r="B78" s="3" t="s">
        <v>18</v>
      </c>
      <c r="C78" s="2">
        <v>179.25</v>
      </c>
      <c r="D78" s="2">
        <v>52.75</v>
      </c>
      <c r="E78" s="2">
        <v>91</v>
      </c>
      <c r="F78" s="2">
        <v>159.25</v>
      </c>
      <c r="G78" s="2">
        <v>44</v>
      </c>
      <c r="H78" s="2">
        <v>112.5</v>
      </c>
      <c r="I78" s="2">
        <v>152.25</v>
      </c>
      <c r="J78" s="2">
        <v>36.25</v>
      </c>
      <c r="K78" s="2">
        <v>155.5</v>
      </c>
      <c r="L78" s="11" t="s">
        <v>74</v>
      </c>
      <c r="M78" s="11" t="s">
        <v>74</v>
      </c>
      <c r="N78" s="11" t="s">
        <v>74</v>
      </c>
    </row>
    <row r="79" spans="1:14" x14ac:dyDescent="0.25">
      <c r="A79" s="3" t="s">
        <v>8</v>
      </c>
      <c r="B79" s="3" t="s">
        <v>19</v>
      </c>
      <c r="C79" s="2">
        <v>237</v>
      </c>
      <c r="D79" s="2">
        <v>67</v>
      </c>
      <c r="E79" s="2">
        <v>133.25</v>
      </c>
      <c r="F79" s="2">
        <v>235.5</v>
      </c>
      <c r="G79" s="2">
        <v>61.5</v>
      </c>
      <c r="H79" s="2">
        <v>145.5</v>
      </c>
      <c r="I79" s="2">
        <v>226.5</v>
      </c>
      <c r="J79" s="2">
        <v>56.75</v>
      </c>
      <c r="K79" s="2">
        <v>150.25</v>
      </c>
      <c r="L79" s="11" t="s">
        <v>74</v>
      </c>
      <c r="M79" s="11" t="s">
        <v>75</v>
      </c>
      <c r="N79" s="11" t="s">
        <v>68</v>
      </c>
    </row>
    <row r="80" spans="1:14" x14ac:dyDescent="0.25">
      <c r="A80" s="3" t="s">
        <v>17</v>
      </c>
      <c r="B80" s="3" t="s">
        <v>18</v>
      </c>
      <c r="C80" s="2">
        <v>235.75</v>
      </c>
      <c r="D80" s="2">
        <v>54.25</v>
      </c>
      <c r="E80" s="2">
        <v>84.5</v>
      </c>
      <c r="F80" s="2">
        <v>220.25</v>
      </c>
      <c r="G80" s="2">
        <v>50.25</v>
      </c>
      <c r="H80" s="2">
        <v>76</v>
      </c>
      <c r="I80" s="2">
        <v>199</v>
      </c>
      <c r="J80" s="2">
        <v>49.5</v>
      </c>
      <c r="K80" s="2">
        <v>69.75</v>
      </c>
      <c r="L80" s="11" t="s">
        <v>68</v>
      </c>
      <c r="M80" s="11" t="s">
        <v>68</v>
      </c>
      <c r="N80" s="11" t="s">
        <v>68</v>
      </c>
    </row>
    <row r="81" spans="1:14" x14ac:dyDescent="0.25">
      <c r="A81" s="3" t="s">
        <v>8</v>
      </c>
      <c r="B81" s="3" t="s">
        <v>18</v>
      </c>
      <c r="C81" s="2">
        <v>203</v>
      </c>
      <c r="D81" s="2">
        <v>43.375</v>
      </c>
      <c r="E81" s="2">
        <v>108.625</v>
      </c>
      <c r="F81" s="2">
        <v>195.625</v>
      </c>
      <c r="G81" s="2">
        <v>40.75</v>
      </c>
      <c r="H81" s="2">
        <v>105.125</v>
      </c>
      <c r="I81" s="2">
        <v>180.75</v>
      </c>
      <c r="J81" s="2">
        <v>36</v>
      </c>
      <c r="K81" s="2">
        <v>115</v>
      </c>
      <c r="L81" s="11" t="s">
        <v>68</v>
      </c>
      <c r="M81" s="11" t="s">
        <v>75</v>
      </c>
      <c r="N81" s="11" t="s">
        <v>70</v>
      </c>
    </row>
    <row r="82" spans="1:14" x14ac:dyDescent="0.25">
      <c r="A82" s="3" t="s">
        <v>17</v>
      </c>
      <c r="B82" s="3" t="s">
        <v>18</v>
      </c>
      <c r="C82" s="2">
        <v>167.75</v>
      </c>
      <c r="D82" s="2">
        <v>39</v>
      </c>
      <c r="E82" s="2">
        <v>85</v>
      </c>
      <c r="F82" s="2">
        <v>148.5</v>
      </c>
      <c r="G82" s="2">
        <v>35.5</v>
      </c>
      <c r="H82" s="2">
        <v>97.25</v>
      </c>
      <c r="I82" s="2">
        <v>157.5</v>
      </c>
      <c r="J82" s="2">
        <v>32.75</v>
      </c>
      <c r="K82" s="2">
        <v>136.5</v>
      </c>
      <c r="L82" s="11" t="s">
        <v>69</v>
      </c>
      <c r="M82" s="11" t="s">
        <v>68</v>
      </c>
      <c r="N82" s="11" t="s">
        <v>70</v>
      </c>
    </row>
    <row r="83" spans="1:14" x14ac:dyDescent="0.25">
      <c r="A83" s="3" t="s">
        <v>17</v>
      </c>
      <c r="B83" s="3" t="s">
        <v>19</v>
      </c>
      <c r="C83" s="2">
        <v>255.25</v>
      </c>
      <c r="D83" s="2">
        <v>60.5</v>
      </c>
      <c r="E83" s="2">
        <v>91.75</v>
      </c>
      <c r="F83" s="2">
        <v>239</v>
      </c>
      <c r="G83" s="2">
        <v>54.75</v>
      </c>
      <c r="H83" s="2">
        <v>92.25</v>
      </c>
      <c r="I83" s="2">
        <v>214.5</v>
      </c>
      <c r="J83" s="2">
        <v>36.75</v>
      </c>
      <c r="K83" s="2">
        <v>175.5</v>
      </c>
      <c r="L83" s="11" t="s">
        <v>74</v>
      </c>
      <c r="M83" s="11" t="s">
        <v>68</v>
      </c>
      <c r="N83" s="11" t="s">
        <v>70</v>
      </c>
    </row>
    <row r="84" spans="1:14" x14ac:dyDescent="0.25">
      <c r="A84" s="3" t="s">
        <v>17</v>
      </c>
      <c r="B84" s="3" t="s">
        <v>19</v>
      </c>
      <c r="C84" s="2">
        <v>225</v>
      </c>
      <c r="D84" s="2">
        <v>41</v>
      </c>
      <c r="E84" s="2">
        <v>133.25</v>
      </c>
      <c r="F84" s="2">
        <v>220.5</v>
      </c>
      <c r="G84" s="2">
        <v>37.25</v>
      </c>
      <c r="H84" s="2">
        <v>155.5</v>
      </c>
      <c r="I84" s="2">
        <v>232.75</v>
      </c>
      <c r="J84" s="2">
        <v>50.25</v>
      </c>
      <c r="K84" s="2">
        <v>97.75</v>
      </c>
      <c r="L84" s="11" t="s">
        <v>68</v>
      </c>
      <c r="M84" s="11" t="s">
        <v>75</v>
      </c>
      <c r="N84" s="11" t="s">
        <v>70</v>
      </c>
    </row>
    <row r="85" spans="1:14" x14ac:dyDescent="0.25">
      <c r="A85" s="3" t="s">
        <v>17</v>
      </c>
      <c r="B85" s="3" t="s">
        <v>19</v>
      </c>
      <c r="C85" s="2">
        <v>236</v>
      </c>
      <c r="D85" s="2">
        <v>66.75</v>
      </c>
      <c r="E85" s="2">
        <v>66</v>
      </c>
      <c r="F85" s="2">
        <v>215.25</v>
      </c>
      <c r="G85" s="2">
        <v>75.75</v>
      </c>
      <c r="H85" s="2">
        <v>64</v>
      </c>
      <c r="I85" s="2">
        <v>212.75</v>
      </c>
      <c r="J85" s="2">
        <v>62</v>
      </c>
      <c r="K85" s="2">
        <v>68</v>
      </c>
      <c r="L85" s="11" t="s">
        <v>70</v>
      </c>
      <c r="M85" s="11" t="s">
        <v>69</v>
      </c>
      <c r="N85" s="11" t="s">
        <v>68</v>
      </c>
    </row>
    <row r="86" spans="1:14" x14ac:dyDescent="0.25">
      <c r="A86" s="3" t="s">
        <v>17</v>
      </c>
      <c r="B86" s="3" t="s">
        <v>18</v>
      </c>
      <c r="C86" s="2">
        <v>232.75</v>
      </c>
      <c r="D86" s="2">
        <v>56.25</v>
      </c>
      <c r="E86" s="2">
        <v>98</v>
      </c>
      <c r="F86" s="2">
        <v>209.25</v>
      </c>
      <c r="G86" s="2">
        <v>47.5</v>
      </c>
      <c r="H86" s="2">
        <v>143</v>
      </c>
      <c r="I86" s="2">
        <v>199.75</v>
      </c>
      <c r="J86" s="2">
        <v>46.25</v>
      </c>
      <c r="K86" s="2">
        <v>116.5</v>
      </c>
      <c r="L86" s="11" t="s">
        <v>69</v>
      </c>
      <c r="M86" s="11" t="s">
        <v>68</v>
      </c>
      <c r="N86" s="11" t="s">
        <v>68</v>
      </c>
    </row>
    <row r="87" spans="1:14" x14ac:dyDescent="0.25">
      <c r="A87" s="3" t="s">
        <v>8</v>
      </c>
      <c r="B87" s="3" t="s">
        <v>18</v>
      </c>
      <c r="C87" s="2">
        <v>206.375</v>
      </c>
      <c r="D87" s="2">
        <v>41.375</v>
      </c>
      <c r="E87" s="2">
        <v>174.75</v>
      </c>
      <c r="F87" s="2">
        <v>203.125</v>
      </c>
      <c r="G87" s="2">
        <v>38.375</v>
      </c>
      <c r="H87" s="2">
        <v>218.25</v>
      </c>
      <c r="I87" s="2">
        <v>190.5</v>
      </c>
      <c r="J87" s="2">
        <v>36.25</v>
      </c>
      <c r="K87" s="2">
        <v>247.25</v>
      </c>
      <c r="L87" s="11" t="s">
        <v>74</v>
      </c>
      <c r="M87" s="11" t="s">
        <v>68</v>
      </c>
      <c r="N87" s="11" t="s">
        <v>75</v>
      </c>
    </row>
    <row r="88" spans="1:14" x14ac:dyDescent="0.25">
      <c r="A88" s="3" t="s">
        <v>8</v>
      </c>
      <c r="B88" s="3" t="s">
        <v>19</v>
      </c>
      <c r="C88" s="2">
        <v>248</v>
      </c>
      <c r="D88" s="2">
        <v>64.25</v>
      </c>
      <c r="E88" s="2">
        <v>75.75</v>
      </c>
      <c r="F88" s="2">
        <v>245.25</v>
      </c>
      <c r="G88" s="2">
        <v>62.5</v>
      </c>
      <c r="H88" s="2">
        <v>82.25</v>
      </c>
      <c r="I88" s="2">
        <v>240.25</v>
      </c>
      <c r="J88" s="2">
        <v>56.5</v>
      </c>
      <c r="K88" s="2">
        <v>96.5</v>
      </c>
      <c r="L88" s="11" t="s">
        <v>68</v>
      </c>
      <c r="M88" s="11" t="s">
        <v>69</v>
      </c>
      <c r="N88" s="11" t="s">
        <v>69</v>
      </c>
    </row>
    <row r="89" spans="1:14" x14ac:dyDescent="0.25">
      <c r="A89" s="3" t="s">
        <v>17</v>
      </c>
      <c r="B89" s="3" t="s">
        <v>18</v>
      </c>
      <c r="C89" s="2">
        <v>203.25</v>
      </c>
      <c r="D89" s="2">
        <v>70</v>
      </c>
      <c r="E89" s="2">
        <v>56.25</v>
      </c>
      <c r="F89" s="2">
        <v>197</v>
      </c>
      <c r="G89" s="2">
        <v>65.75</v>
      </c>
      <c r="H89" s="2">
        <v>56.75</v>
      </c>
      <c r="I89" s="2">
        <v>165.5</v>
      </c>
      <c r="J89" s="2">
        <v>54</v>
      </c>
      <c r="K89" s="2">
        <v>66</v>
      </c>
      <c r="L89" s="11" t="s">
        <v>70</v>
      </c>
      <c r="M89" s="11" t="s">
        <v>68</v>
      </c>
      <c r="N89" s="11" t="s">
        <v>69</v>
      </c>
    </row>
    <row r="90" spans="1:14" x14ac:dyDescent="0.25">
      <c r="A90" s="3" t="s">
        <v>17</v>
      </c>
      <c r="B90" s="3" t="s">
        <v>18</v>
      </c>
      <c r="C90" s="2">
        <v>208</v>
      </c>
      <c r="D90" s="2">
        <v>46.25</v>
      </c>
      <c r="E90" s="2">
        <v>53.25</v>
      </c>
      <c r="F90" s="2">
        <v>203.25</v>
      </c>
      <c r="G90" s="2">
        <v>46.5</v>
      </c>
      <c r="H90" s="2">
        <v>58</v>
      </c>
      <c r="I90" s="2">
        <v>186.75</v>
      </c>
      <c r="J90" s="2">
        <v>42.25</v>
      </c>
      <c r="K90" s="2">
        <v>55</v>
      </c>
      <c r="L90" s="11" t="s">
        <v>75</v>
      </c>
      <c r="M90" s="11" t="s">
        <v>74</v>
      </c>
      <c r="N90" s="11" t="s">
        <v>68</v>
      </c>
    </row>
    <row r="91" spans="1:14" x14ac:dyDescent="0.25">
      <c r="A91" s="3" t="s">
        <v>17</v>
      </c>
      <c r="B91" s="3" t="s">
        <v>18</v>
      </c>
      <c r="C91" s="2">
        <v>236.75</v>
      </c>
      <c r="D91" s="2">
        <v>36</v>
      </c>
      <c r="E91" s="2">
        <v>149.5</v>
      </c>
      <c r="F91" s="2">
        <v>225.25</v>
      </c>
      <c r="G91" s="2">
        <v>34.75</v>
      </c>
      <c r="H91" s="2">
        <v>150</v>
      </c>
      <c r="I91" s="2">
        <v>217.5</v>
      </c>
      <c r="J91" s="2">
        <v>31.75</v>
      </c>
      <c r="K91" s="2">
        <v>169.5</v>
      </c>
      <c r="L91" s="11" t="s">
        <v>74</v>
      </c>
      <c r="M91" s="11" t="s">
        <v>68</v>
      </c>
      <c r="N91" s="11" t="s">
        <v>70</v>
      </c>
    </row>
    <row r="92" spans="1:14" x14ac:dyDescent="0.25">
      <c r="A92" s="3" t="s">
        <v>17</v>
      </c>
      <c r="B92" s="3" t="s">
        <v>19</v>
      </c>
      <c r="C92" s="2">
        <v>249.5</v>
      </c>
      <c r="D92" s="2">
        <v>37.75</v>
      </c>
      <c r="E92" s="2">
        <v>111.75</v>
      </c>
      <c r="F92" s="2">
        <v>221.5</v>
      </c>
      <c r="G92" s="2">
        <v>36.25</v>
      </c>
      <c r="H92" s="2">
        <v>96</v>
      </c>
      <c r="I92" s="2">
        <v>226.5</v>
      </c>
      <c r="J92" s="2">
        <v>37</v>
      </c>
      <c r="K92" s="2">
        <v>96.75</v>
      </c>
      <c r="L92" s="11" t="s">
        <v>68</v>
      </c>
      <c r="M92" s="11" t="s">
        <v>75</v>
      </c>
      <c r="N92" s="11" t="s">
        <v>70</v>
      </c>
    </row>
    <row r="93" spans="1:14" x14ac:dyDescent="0.25">
      <c r="A93" s="3" t="s">
        <v>17</v>
      </c>
      <c r="B93" s="3" t="s">
        <v>18</v>
      </c>
      <c r="C93" s="2">
        <v>169.25</v>
      </c>
      <c r="D93" s="2">
        <v>56.25</v>
      </c>
      <c r="E93" s="2">
        <v>53.25</v>
      </c>
      <c r="F93" s="2">
        <v>159.75</v>
      </c>
      <c r="G93" s="2">
        <v>41.25</v>
      </c>
      <c r="H93" s="2">
        <v>64.25</v>
      </c>
      <c r="I93" s="2">
        <v>153.75</v>
      </c>
      <c r="J93" s="2">
        <v>44.5</v>
      </c>
      <c r="K93" s="2">
        <v>60.5</v>
      </c>
      <c r="L93" s="11" t="s">
        <v>75</v>
      </c>
      <c r="M93" s="11" t="s">
        <v>68</v>
      </c>
      <c r="N93" s="11" t="s">
        <v>74</v>
      </c>
    </row>
    <row r="94" spans="1:14" x14ac:dyDescent="0.25">
      <c r="A94" s="3" t="s">
        <v>8</v>
      </c>
      <c r="B94" s="3" t="s">
        <v>19</v>
      </c>
      <c r="C94" s="2">
        <v>274</v>
      </c>
      <c r="D94" s="2">
        <v>73</v>
      </c>
      <c r="E94" s="2">
        <v>99.5</v>
      </c>
      <c r="F94" s="2">
        <v>248</v>
      </c>
      <c r="G94" s="2">
        <v>56</v>
      </c>
      <c r="H94" s="2">
        <v>157.75</v>
      </c>
      <c r="I94" s="2">
        <v>224</v>
      </c>
      <c r="J94" s="2">
        <v>61</v>
      </c>
      <c r="K94" s="2">
        <v>100</v>
      </c>
      <c r="L94" s="11" t="s">
        <v>68</v>
      </c>
      <c r="M94" s="11" t="s">
        <v>74</v>
      </c>
      <c r="N94" s="11" t="s">
        <v>74</v>
      </c>
    </row>
    <row r="95" spans="1:14" x14ac:dyDescent="0.25">
      <c r="A95" s="3" t="s">
        <v>17</v>
      </c>
      <c r="B95" s="3" t="s">
        <v>19</v>
      </c>
      <c r="C95" s="2">
        <v>219.75</v>
      </c>
      <c r="D95" s="2">
        <v>50.5</v>
      </c>
      <c r="E95" s="2">
        <v>142.25</v>
      </c>
      <c r="F95" s="2">
        <v>195.75</v>
      </c>
      <c r="G95" s="2">
        <v>37.25</v>
      </c>
      <c r="H95" s="2">
        <v>207.25</v>
      </c>
      <c r="I95" s="2">
        <v>196</v>
      </c>
      <c r="J95" s="2">
        <v>41.5</v>
      </c>
      <c r="K95" s="2">
        <v>126.5</v>
      </c>
      <c r="L95" s="11" t="s">
        <v>69</v>
      </c>
      <c r="M95" s="11" t="s">
        <v>68</v>
      </c>
      <c r="N95" s="11" t="s">
        <v>70</v>
      </c>
    </row>
    <row r="96" spans="1:14" x14ac:dyDescent="0.25">
      <c r="A96" s="3" t="s">
        <v>17</v>
      </c>
      <c r="B96" s="3" t="s">
        <v>18</v>
      </c>
      <c r="C96" s="2">
        <v>218</v>
      </c>
      <c r="D96" s="2">
        <v>42.75</v>
      </c>
      <c r="E96" s="2">
        <v>119.5</v>
      </c>
      <c r="F96" s="2">
        <v>195.25</v>
      </c>
      <c r="G96" s="2">
        <v>38.25</v>
      </c>
      <c r="H96" s="2">
        <v>112.25</v>
      </c>
      <c r="I96" s="2">
        <v>196</v>
      </c>
      <c r="J96" s="2">
        <v>34.25</v>
      </c>
      <c r="K96" s="2">
        <v>148</v>
      </c>
      <c r="L96" s="11" t="s">
        <v>69</v>
      </c>
      <c r="M96" s="11" t="s">
        <v>70</v>
      </c>
      <c r="N96" s="11" t="s">
        <v>68</v>
      </c>
    </row>
    <row r="97" spans="1:14" x14ac:dyDescent="0.25">
      <c r="A97" s="3" t="s">
        <v>17</v>
      </c>
      <c r="B97" s="3" t="s">
        <v>18</v>
      </c>
      <c r="C97" s="2">
        <v>183</v>
      </c>
      <c r="D97" s="2">
        <v>28.25</v>
      </c>
      <c r="E97" s="2">
        <v>123.75</v>
      </c>
      <c r="F97" s="2">
        <v>176.5</v>
      </c>
      <c r="G97" s="2">
        <v>28.5</v>
      </c>
      <c r="H97" s="2">
        <v>138.75</v>
      </c>
      <c r="I97" s="2">
        <v>169.5</v>
      </c>
      <c r="J97" s="2">
        <v>26.75</v>
      </c>
      <c r="K97" s="2">
        <v>138.75</v>
      </c>
      <c r="L97" s="11" t="s">
        <v>69</v>
      </c>
      <c r="M97" s="11" t="s">
        <v>70</v>
      </c>
      <c r="N97" s="11" t="s">
        <v>68</v>
      </c>
    </row>
    <row r="98" spans="1:14" x14ac:dyDescent="0.25">
      <c r="A98" s="3" t="s">
        <v>8</v>
      </c>
      <c r="B98" s="3" t="s">
        <v>18</v>
      </c>
      <c r="C98" s="2">
        <v>195.125</v>
      </c>
      <c r="D98" s="2">
        <v>60.875</v>
      </c>
      <c r="E98" s="2">
        <v>87.875</v>
      </c>
      <c r="F98" s="2">
        <v>181.625</v>
      </c>
      <c r="G98" s="2">
        <v>54.375</v>
      </c>
      <c r="H98" s="2">
        <v>90.625</v>
      </c>
      <c r="I98" s="2">
        <v>179.75</v>
      </c>
      <c r="J98" s="2">
        <v>53.125</v>
      </c>
      <c r="K98" s="2">
        <v>95.125</v>
      </c>
      <c r="L98" s="11" t="s">
        <v>68</v>
      </c>
      <c r="M98" s="11" t="s">
        <v>68</v>
      </c>
      <c r="N98" s="11" t="s">
        <v>68</v>
      </c>
    </row>
    <row r="99" spans="1:14" x14ac:dyDescent="0.25">
      <c r="A99" s="3" t="s">
        <v>8</v>
      </c>
      <c r="B99" s="3" t="s">
        <v>18</v>
      </c>
      <c r="C99" s="2">
        <v>213.75</v>
      </c>
      <c r="D99" s="2">
        <v>46.25</v>
      </c>
      <c r="E99" s="2">
        <v>101.5</v>
      </c>
      <c r="F99" s="2">
        <v>196.25</v>
      </c>
      <c r="G99" s="2">
        <v>40.5</v>
      </c>
      <c r="H99" s="2">
        <v>118</v>
      </c>
      <c r="I99" s="2">
        <v>195.5</v>
      </c>
      <c r="J99" s="2">
        <v>41.75</v>
      </c>
      <c r="K99" s="2">
        <v>109.375</v>
      </c>
      <c r="L99" s="11" t="s">
        <v>68</v>
      </c>
      <c r="M99" s="11" t="s">
        <v>70</v>
      </c>
      <c r="N99" s="11" t="s">
        <v>75</v>
      </c>
    </row>
    <row r="100" spans="1:14" x14ac:dyDescent="0.25">
      <c r="A100" s="3" t="s">
        <v>17</v>
      </c>
      <c r="B100" s="3" t="s">
        <v>19</v>
      </c>
      <c r="C100" s="2">
        <v>237.75</v>
      </c>
      <c r="D100" s="2">
        <v>38</v>
      </c>
      <c r="E100" s="2">
        <v>137</v>
      </c>
      <c r="F100" s="2">
        <v>223</v>
      </c>
      <c r="G100" s="2">
        <v>37.75</v>
      </c>
      <c r="H100" s="2">
        <v>135.5</v>
      </c>
      <c r="I100" s="2">
        <v>212</v>
      </c>
      <c r="J100" s="2">
        <v>33.25</v>
      </c>
      <c r="K100" s="2">
        <v>137.25</v>
      </c>
      <c r="L100" s="11" t="s">
        <v>69</v>
      </c>
      <c r="M100" s="11" t="s">
        <v>70</v>
      </c>
      <c r="N100" s="11" t="s">
        <v>68</v>
      </c>
    </row>
    <row r="101" spans="1:14" x14ac:dyDescent="0.25">
      <c r="A101" s="3" t="s">
        <v>8</v>
      </c>
      <c r="B101" s="3" t="s">
        <v>18</v>
      </c>
      <c r="C101" s="2">
        <v>174.25</v>
      </c>
      <c r="D101" s="2">
        <v>56.25</v>
      </c>
      <c r="E101" s="2">
        <v>58.125</v>
      </c>
      <c r="F101" s="2">
        <v>193.5</v>
      </c>
      <c r="G101" s="2">
        <v>55.125</v>
      </c>
      <c r="H101" s="2">
        <v>66.375</v>
      </c>
      <c r="I101" s="2">
        <v>180.75</v>
      </c>
      <c r="J101" s="2">
        <v>47.5</v>
      </c>
      <c r="K101" s="2">
        <v>73.5</v>
      </c>
      <c r="L101" s="11" t="s">
        <v>70</v>
      </c>
      <c r="M101" s="11" t="s">
        <v>68</v>
      </c>
      <c r="N101" s="11" t="s">
        <v>69</v>
      </c>
    </row>
    <row r="102" spans="1:14" x14ac:dyDescent="0.25">
      <c r="A102" s="3" t="s">
        <v>8</v>
      </c>
      <c r="B102" s="3" t="s">
        <v>18</v>
      </c>
      <c r="C102" s="2">
        <v>198</v>
      </c>
      <c r="D102" s="2">
        <v>61.375</v>
      </c>
      <c r="E102" s="2">
        <v>77</v>
      </c>
      <c r="F102" s="2">
        <v>181.5</v>
      </c>
      <c r="G102" s="2">
        <v>56.125</v>
      </c>
      <c r="H102" s="2">
        <v>80.875</v>
      </c>
      <c r="I102" s="2">
        <v>160.25</v>
      </c>
      <c r="J102" s="2">
        <v>48.75</v>
      </c>
      <c r="K102" s="2">
        <v>80.75</v>
      </c>
      <c r="L102" s="11" t="s">
        <v>70</v>
      </c>
      <c r="M102" s="11" t="s">
        <v>68</v>
      </c>
      <c r="N102" s="11" t="s">
        <v>68</v>
      </c>
    </row>
    <row r="103" spans="1:14" x14ac:dyDescent="0.25">
      <c r="A103" s="3" t="s">
        <v>8</v>
      </c>
      <c r="B103" s="3" t="s">
        <v>18</v>
      </c>
      <c r="C103" s="2">
        <v>175.25</v>
      </c>
      <c r="D103" s="2">
        <v>43.375</v>
      </c>
      <c r="E103" s="2">
        <v>50.375</v>
      </c>
      <c r="F103" s="2">
        <v>166.25</v>
      </c>
      <c r="G103" s="2">
        <v>37.75</v>
      </c>
      <c r="H103" s="2">
        <v>60.25</v>
      </c>
      <c r="I103" s="2">
        <v>159.625</v>
      </c>
      <c r="J103" s="2">
        <v>39.375</v>
      </c>
      <c r="K103" s="2">
        <v>54.625</v>
      </c>
      <c r="L103" s="11" t="s">
        <v>75</v>
      </c>
      <c r="M103" s="11" t="s">
        <v>69</v>
      </c>
      <c r="N103" s="11" t="s">
        <v>68</v>
      </c>
    </row>
    <row r="104" spans="1:14" x14ac:dyDescent="0.25">
      <c r="A104" s="3" t="s">
        <v>8</v>
      </c>
      <c r="B104" s="3" t="s">
        <v>19</v>
      </c>
      <c r="C104" s="2">
        <v>250.5</v>
      </c>
      <c r="D104" s="2">
        <v>41.75</v>
      </c>
      <c r="E104" s="2">
        <v>163.25</v>
      </c>
      <c r="F104" s="2">
        <v>248.5</v>
      </c>
      <c r="G104" s="2">
        <v>38</v>
      </c>
      <c r="H104" s="2">
        <v>200.25</v>
      </c>
      <c r="I104" s="2">
        <v>231</v>
      </c>
      <c r="J104" s="2">
        <v>39</v>
      </c>
      <c r="K104" s="2">
        <v>165.25</v>
      </c>
      <c r="L104" s="11" t="s">
        <v>74</v>
      </c>
      <c r="M104" s="11" t="s">
        <v>68</v>
      </c>
      <c r="N104" s="11" t="s">
        <v>75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"/>
  <sheetViews>
    <sheetView workbookViewId="0">
      <selection sqref="A1:E1048576"/>
    </sheetView>
  </sheetViews>
  <sheetFormatPr defaultColWidth="8.85546875" defaultRowHeight="15" x14ac:dyDescent="0.25"/>
  <cols>
    <col min="1" max="1" width="4.5703125" style="1" bestFit="1" customWidth="1"/>
    <col min="2" max="2" width="5.5703125" style="3" bestFit="1" customWidth="1"/>
    <col min="3" max="3" width="11.85546875" style="1" customWidth="1"/>
    <col min="4" max="4" width="5.5703125" style="3" bestFit="1" customWidth="1"/>
    <col min="5" max="5" width="11.85546875" style="11" customWidth="1"/>
    <col min="6" max="16384" width="8.85546875" style="1"/>
  </cols>
  <sheetData>
    <row r="1" spans="1:7" x14ac:dyDescent="0.25">
      <c r="A1" s="1" t="s">
        <v>4</v>
      </c>
      <c r="B1" s="3" t="s">
        <v>9</v>
      </c>
      <c r="C1" s="1" t="s">
        <v>7</v>
      </c>
      <c r="D1" s="3" t="s">
        <v>22</v>
      </c>
      <c r="E1" s="11" t="s">
        <v>58</v>
      </c>
      <c r="G1" s="1" t="s">
        <v>63</v>
      </c>
    </row>
    <row r="2" spans="1:7" x14ac:dyDescent="0.25">
      <c r="A2" s="1">
        <v>2</v>
      </c>
      <c r="B2" s="3">
        <v>1</v>
      </c>
      <c r="C2" s="1" t="s">
        <v>5</v>
      </c>
      <c r="D2" s="3" t="s">
        <v>57</v>
      </c>
      <c r="E2" s="11" t="s">
        <v>5</v>
      </c>
      <c r="G2" s="11" t="s">
        <v>64</v>
      </c>
    </row>
    <row r="3" spans="1:7" x14ac:dyDescent="0.25">
      <c r="A3" s="1">
        <v>6</v>
      </c>
      <c r="B3" s="3">
        <v>1</v>
      </c>
      <c r="C3" s="1" t="s">
        <v>5</v>
      </c>
      <c r="D3" s="3" t="s">
        <v>57</v>
      </c>
      <c r="E3" s="11" t="s">
        <v>5</v>
      </c>
    </row>
    <row r="4" spans="1:7" x14ac:dyDescent="0.25">
      <c r="A4" s="1">
        <v>12</v>
      </c>
      <c r="B4" s="3">
        <v>1</v>
      </c>
      <c r="C4" s="1" t="s">
        <v>5</v>
      </c>
      <c r="D4" s="3" t="s">
        <v>57</v>
      </c>
      <c r="E4" s="11" t="s">
        <v>5</v>
      </c>
    </row>
    <row r="5" spans="1:7" x14ac:dyDescent="0.25">
      <c r="A5" s="1">
        <v>54</v>
      </c>
      <c r="B5" s="3">
        <v>1</v>
      </c>
      <c r="C5" s="1" t="s">
        <v>5</v>
      </c>
      <c r="D5" s="3" t="s">
        <v>57</v>
      </c>
      <c r="E5" s="11" t="s">
        <v>5</v>
      </c>
    </row>
    <row r="6" spans="1:7" x14ac:dyDescent="0.25">
      <c r="A6" s="1">
        <v>56</v>
      </c>
      <c r="B6" s="3">
        <v>0</v>
      </c>
      <c r="C6" s="1" t="s">
        <v>5</v>
      </c>
      <c r="D6" s="3">
        <v>0</v>
      </c>
      <c r="E6" s="11" t="s">
        <v>5</v>
      </c>
    </row>
    <row r="7" spans="1:7" x14ac:dyDescent="0.25">
      <c r="A7" s="1">
        <v>68</v>
      </c>
      <c r="B7" s="3">
        <v>1</v>
      </c>
      <c r="C7" s="1" t="s">
        <v>5</v>
      </c>
      <c r="D7" s="3" t="s">
        <v>57</v>
      </c>
      <c r="E7" s="11" t="s">
        <v>5</v>
      </c>
    </row>
    <row r="8" spans="1:7" x14ac:dyDescent="0.25">
      <c r="A8" s="1">
        <v>89</v>
      </c>
      <c r="B8" s="3">
        <v>1</v>
      </c>
      <c r="C8" s="1" t="s">
        <v>5</v>
      </c>
      <c r="D8" s="3" t="s">
        <v>57</v>
      </c>
      <c r="E8" s="11" t="s">
        <v>5</v>
      </c>
    </row>
    <row r="9" spans="1:7" x14ac:dyDescent="0.25">
      <c r="A9" s="1">
        <v>96</v>
      </c>
      <c r="B9" s="3">
        <v>1</v>
      </c>
      <c r="C9" s="1" t="s">
        <v>5</v>
      </c>
      <c r="D9" s="3" t="s">
        <v>57</v>
      </c>
      <c r="E9" s="11" t="s">
        <v>5</v>
      </c>
    </row>
    <row r="10" spans="1:7" x14ac:dyDescent="0.25">
      <c r="A10" s="1">
        <v>96</v>
      </c>
      <c r="B10" s="3">
        <v>1</v>
      </c>
      <c r="C10" s="1" t="s">
        <v>5</v>
      </c>
      <c r="D10" s="3" t="s">
        <v>57</v>
      </c>
      <c r="E10" s="11" t="s">
        <v>5</v>
      </c>
    </row>
    <row r="11" spans="1:7" x14ac:dyDescent="0.25">
      <c r="A11" s="1">
        <v>125</v>
      </c>
      <c r="B11" s="3">
        <v>0</v>
      </c>
      <c r="C11" s="1" t="s">
        <v>5</v>
      </c>
      <c r="D11" s="3">
        <v>0</v>
      </c>
      <c r="E11" s="11" t="s">
        <v>5</v>
      </c>
    </row>
    <row r="12" spans="1:7" x14ac:dyDescent="0.25">
      <c r="A12" s="1">
        <v>128</v>
      </c>
      <c r="B12" s="3">
        <v>0</v>
      </c>
      <c r="C12" s="1" t="s">
        <v>5</v>
      </c>
      <c r="D12" s="3">
        <v>0</v>
      </c>
      <c r="E12" s="11" t="s">
        <v>5</v>
      </c>
    </row>
    <row r="13" spans="1:7" x14ac:dyDescent="0.25">
      <c r="A13" s="1">
        <v>131</v>
      </c>
      <c r="B13" s="3">
        <v>0</v>
      </c>
      <c r="C13" s="1" t="s">
        <v>5</v>
      </c>
      <c r="D13" s="3">
        <v>0</v>
      </c>
      <c r="E13" s="11" t="s">
        <v>5</v>
      </c>
    </row>
    <row r="14" spans="1:7" x14ac:dyDescent="0.25">
      <c r="A14" s="1">
        <v>140</v>
      </c>
      <c r="B14" s="3">
        <v>0</v>
      </c>
      <c r="C14" s="1" t="s">
        <v>5</v>
      </c>
      <c r="D14" s="3">
        <v>0</v>
      </c>
      <c r="E14" s="11" t="s">
        <v>5</v>
      </c>
    </row>
    <row r="15" spans="1:7" x14ac:dyDescent="0.25">
      <c r="A15" s="1">
        <v>141</v>
      </c>
      <c r="B15" s="3">
        <v>0</v>
      </c>
      <c r="C15" s="1" t="s">
        <v>5</v>
      </c>
      <c r="D15" s="3">
        <v>0</v>
      </c>
      <c r="E15" s="11" t="s">
        <v>5</v>
      </c>
    </row>
    <row r="16" spans="1:7" x14ac:dyDescent="0.25">
      <c r="A16" s="1">
        <v>143</v>
      </c>
      <c r="B16" s="3">
        <v>1</v>
      </c>
      <c r="C16" s="1" t="s">
        <v>5</v>
      </c>
      <c r="D16" s="3" t="s">
        <v>57</v>
      </c>
      <c r="E16" s="11" t="s">
        <v>5</v>
      </c>
    </row>
    <row r="17" spans="1:5" x14ac:dyDescent="0.25">
      <c r="A17" s="1">
        <v>145</v>
      </c>
      <c r="B17" s="3">
        <v>0</v>
      </c>
      <c r="C17" s="1" t="s">
        <v>5</v>
      </c>
      <c r="D17" s="3">
        <v>0</v>
      </c>
      <c r="E17" s="11" t="s">
        <v>5</v>
      </c>
    </row>
    <row r="18" spans="1:5" x14ac:dyDescent="0.25">
      <c r="A18" s="1">
        <v>146</v>
      </c>
      <c r="B18" s="3">
        <v>1</v>
      </c>
      <c r="C18" s="1" t="s">
        <v>5</v>
      </c>
      <c r="D18" s="3" t="s">
        <v>57</v>
      </c>
      <c r="E18" s="11" t="s">
        <v>5</v>
      </c>
    </row>
    <row r="19" spans="1:5" x14ac:dyDescent="0.25">
      <c r="A19" s="1">
        <v>148</v>
      </c>
      <c r="B19" s="3">
        <v>0</v>
      </c>
      <c r="C19" s="1" t="s">
        <v>5</v>
      </c>
      <c r="D19" s="3">
        <v>0</v>
      </c>
      <c r="E19" s="11" t="s">
        <v>5</v>
      </c>
    </row>
    <row r="20" spans="1:5" x14ac:dyDescent="0.25">
      <c r="A20" s="1">
        <v>162</v>
      </c>
      <c r="B20" s="3">
        <v>0</v>
      </c>
      <c r="C20" s="1" t="s">
        <v>5</v>
      </c>
      <c r="D20" s="3">
        <v>0</v>
      </c>
      <c r="E20" s="11" t="s">
        <v>5</v>
      </c>
    </row>
    <row r="21" spans="1:5" x14ac:dyDescent="0.25">
      <c r="A21" s="1">
        <v>168</v>
      </c>
      <c r="B21" s="3">
        <v>1</v>
      </c>
      <c r="C21" s="1" t="s">
        <v>5</v>
      </c>
      <c r="D21" s="3" t="s">
        <v>57</v>
      </c>
      <c r="E21" s="11" t="s">
        <v>5</v>
      </c>
    </row>
    <row r="22" spans="1:5" x14ac:dyDescent="0.25">
      <c r="A22" s="1">
        <v>2</v>
      </c>
      <c r="B22" s="3">
        <v>1</v>
      </c>
      <c r="C22" s="1" t="s">
        <v>6</v>
      </c>
      <c r="D22" s="3" t="s">
        <v>57</v>
      </c>
      <c r="E22" s="11" t="s">
        <v>6</v>
      </c>
    </row>
    <row r="23" spans="1:5" x14ac:dyDescent="0.25">
      <c r="A23" s="1">
        <v>3</v>
      </c>
      <c r="B23" s="3">
        <v>1</v>
      </c>
      <c r="C23" s="1" t="s">
        <v>6</v>
      </c>
      <c r="D23" s="3" t="s">
        <v>57</v>
      </c>
      <c r="E23" s="11" t="s">
        <v>6</v>
      </c>
    </row>
    <row r="24" spans="1:5" x14ac:dyDescent="0.25">
      <c r="A24" s="1">
        <v>4</v>
      </c>
      <c r="B24" s="3">
        <v>1</v>
      </c>
      <c r="C24" s="1" t="s">
        <v>6</v>
      </c>
      <c r="D24" s="3" t="s">
        <v>57</v>
      </c>
      <c r="E24" s="11" t="s">
        <v>6</v>
      </c>
    </row>
    <row r="25" spans="1:5" x14ac:dyDescent="0.25">
      <c r="A25" s="1">
        <v>7</v>
      </c>
      <c r="B25" s="3">
        <v>1</v>
      </c>
      <c r="C25" s="1" t="s">
        <v>6</v>
      </c>
      <c r="D25" s="3" t="s">
        <v>57</v>
      </c>
      <c r="E25" s="11" t="s">
        <v>6</v>
      </c>
    </row>
    <row r="26" spans="1:5" x14ac:dyDescent="0.25">
      <c r="A26" s="1">
        <v>10</v>
      </c>
      <c r="B26" s="3">
        <v>1</v>
      </c>
      <c r="C26" s="1" t="s">
        <v>6</v>
      </c>
      <c r="D26" s="3" t="s">
        <v>57</v>
      </c>
      <c r="E26" s="11" t="s">
        <v>6</v>
      </c>
    </row>
    <row r="27" spans="1:5" x14ac:dyDescent="0.25">
      <c r="A27" s="1">
        <v>22</v>
      </c>
      <c r="B27" s="3">
        <v>1</v>
      </c>
      <c r="C27" s="1" t="s">
        <v>6</v>
      </c>
      <c r="D27" s="3" t="s">
        <v>57</v>
      </c>
      <c r="E27" s="11" t="s">
        <v>6</v>
      </c>
    </row>
    <row r="28" spans="1:5" x14ac:dyDescent="0.25">
      <c r="A28" s="1">
        <v>28</v>
      </c>
      <c r="B28" s="3">
        <v>1</v>
      </c>
      <c r="C28" s="1" t="s">
        <v>6</v>
      </c>
      <c r="D28" s="3" t="s">
        <v>57</v>
      </c>
      <c r="E28" s="11" t="s">
        <v>6</v>
      </c>
    </row>
    <row r="29" spans="1:5" x14ac:dyDescent="0.25">
      <c r="A29" s="1">
        <v>29</v>
      </c>
      <c r="B29" s="3">
        <v>1</v>
      </c>
      <c r="C29" s="1" t="s">
        <v>6</v>
      </c>
      <c r="D29" s="3" t="s">
        <v>57</v>
      </c>
      <c r="E29" s="11" t="s">
        <v>6</v>
      </c>
    </row>
    <row r="30" spans="1:5" x14ac:dyDescent="0.25">
      <c r="A30" s="1">
        <v>32</v>
      </c>
      <c r="B30" s="3">
        <v>1</v>
      </c>
      <c r="C30" s="1" t="s">
        <v>6</v>
      </c>
      <c r="D30" s="3" t="s">
        <v>57</v>
      </c>
      <c r="E30" s="11" t="s">
        <v>6</v>
      </c>
    </row>
    <row r="31" spans="1:5" x14ac:dyDescent="0.25">
      <c r="A31" s="1">
        <v>37</v>
      </c>
      <c r="B31" s="3">
        <v>1</v>
      </c>
      <c r="C31" s="1" t="s">
        <v>6</v>
      </c>
      <c r="D31" s="3" t="s">
        <v>57</v>
      </c>
      <c r="E31" s="11" t="s">
        <v>6</v>
      </c>
    </row>
    <row r="32" spans="1:5" x14ac:dyDescent="0.25">
      <c r="A32" s="1">
        <v>40</v>
      </c>
      <c r="B32" s="3">
        <v>1</v>
      </c>
      <c r="C32" s="1" t="s">
        <v>6</v>
      </c>
      <c r="D32" s="3" t="s">
        <v>57</v>
      </c>
      <c r="E32" s="11" t="s">
        <v>6</v>
      </c>
    </row>
    <row r="33" spans="1:5" x14ac:dyDescent="0.25">
      <c r="A33" s="1">
        <v>41</v>
      </c>
      <c r="B33" s="3">
        <v>1</v>
      </c>
      <c r="C33" s="1" t="s">
        <v>6</v>
      </c>
      <c r="D33" s="3" t="s">
        <v>57</v>
      </c>
      <c r="E33" s="11" t="s">
        <v>6</v>
      </c>
    </row>
    <row r="34" spans="1:5" x14ac:dyDescent="0.25">
      <c r="A34" s="1">
        <v>54</v>
      </c>
      <c r="B34" s="3">
        <v>1</v>
      </c>
      <c r="C34" s="1" t="s">
        <v>6</v>
      </c>
      <c r="D34" s="3" t="s">
        <v>57</v>
      </c>
      <c r="E34" s="11" t="s">
        <v>6</v>
      </c>
    </row>
    <row r="35" spans="1:5" x14ac:dyDescent="0.25">
      <c r="A35" s="1">
        <v>61</v>
      </c>
      <c r="B35" s="3">
        <v>1</v>
      </c>
      <c r="C35" s="1" t="s">
        <v>6</v>
      </c>
      <c r="D35" s="3" t="s">
        <v>57</v>
      </c>
      <c r="E35" s="11" t="s">
        <v>6</v>
      </c>
    </row>
    <row r="36" spans="1:5" x14ac:dyDescent="0.25">
      <c r="A36" s="1">
        <v>63</v>
      </c>
      <c r="B36" s="3">
        <v>1</v>
      </c>
      <c r="C36" s="1" t="s">
        <v>6</v>
      </c>
      <c r="D36" s="3" t="s">
        <v>57</v>
      </c>
      <c r="E36" s="11" t="s">
        <v>6</v>
      </c>
    </row>
    <row r="37" spans="1:5" x14ac:dyDescent="0.25">
      <c r="A37" s="1">
        <v>71</v>
      </c>
      <c r="B37" s="3">
        <v>1</v>
      </c>
      <c r="C37" s="1" t="s">
        <v>6</v>
      </c>
      <c r="D37" s="3" t="s">
        <v>57</v>
      </c>
      <c r="E37" s="11" t="s">
        <v>6</v>
      </c>
    </row>
    <row r="38" spans="1:5" x14ac:dyDescent="0.25">
      <c r="A38" s="1">
        <v>127</v>
      </c>
      <c r="B38" s="3">
        <v>0</v>
      </c>
      <c r="C38" s="1" t="s">
        <v>6</v>
      </c>
      <c r="D38" s="3">
        <v>0</v>
      </c>
      <c r="E38" s="11" t="s">
        <v>6</v>
      </c>
    </row>
    <row r="39" spans="1:5" x14ac:dyDescent="0.25">
      <c r="A39" s="1">
        <v>140</v>
      </c>
      <c r="B39" s="3">
        <v>0</v>
      </c>
      <c r="C39" s="1" t="s">
        <v>6</v>
      </c>
      <c r="D39" s="3">
        <v>0</v>
      </c>
      <c r="E39" s="11" t="s">
        <v>6</v>
      </c>
    </row>
    <row r="40" spans="1:5" x14ac:dyDescent="0.25">
      <c r="A40" s="1">
        <v>146</v>
      </c>
      <c r="B40" s="3">
        <v>0</v>
      </c>
      <c r="C40" s="1" t="s">
        <v>6</v>
      </c>
      <c r="D40" s="3">
        <v>0</v>
      </c>
      <c r="E40" s="11" t="s">
        <v>6</v>
      </c>
    </row>
    <row r="41" spans="1:5" x14ac:dyDescent="0.25">
      <c r="A41" s="1">
        <v>158</v>
      </c>
      <c r="B41" s="3">
        <v>0</v>
      </c>
      <c r="C41" s="1" t="s">
        <v>6</v>
      </c>
      <c r="D41" s="3">
        <v>0</v>
      </c>
      <c r="E41" s="11" t="s">
        <v>6</v>
      </c>
    </row>
    <row r="42" spans="1:5" x14ac:dyDescent="0.25">
      <c r="A42" s="1">
        <v>168</v>
      </c>
      <c r="B42" s="3">
        <v>0</v>
      </c>
      <c r="C42" s="1" t="s">
        <v>5</v>
      </c>
      <c r="D42" s="3">
        <v>0</v>
      </c>
      <c r="E42" s="11" t="s">
        <v>5</v>
      </c>
    </row>
    <row r="43" spans="1:5" x14ac:dyDescent="0.25">
      <c r="A43" s="1">
        <v>168</v>
      </c>
      <c r="B43" s="3">
        <v>0</v>
      </c>
      <c r="C43" s="1" t="s">
        <v>5</v>
      </c>
      <c r="D43" s="3">
        <v>0</v>
      </c>
      <c r="E43" s="11" t="s">
        <v>5</v>
      </c>
    </row>
    <row r="44" spans="1:5" x14ac:dyDescent="0.25">
      <c r="A44" s="1">
        <v>168</v>
      </c>
      <c r="B44" s="3">
        <v>0</v>
      </c>
      <c r="C44" s="1" t="s">
        <v>6</v>
      </c>
      <c r="D44" s="3">
        <v>0</v>
      </c>
      <c r="E44" s="11" t="s">
        <v>6</v>
      </c>
    </row>
    <row r="45" spans="1:5" x14ac:dyDescent="0.25">
      <c r="A45" s="1">
        <v>168</v>
      </c>
      <c r="B45" s="3">
        <v>0</v>
      </c>
      <c r="C45" s="1" t="s">
        <v>6</v>
      </c>
      <c r="D45" s="3">
        <v>0</v>
      </c>
      <c r="E45" s="11" t="s">
        <v>6</v>
      </c>
    </row>
    <row r="46" spans="1:5" x14ac:dyDescent="0.25">
      <c r="A46" s="11">
        <v>2</v>
      </c>
      <c r="B46" s="3">
        <v>1</v>
      </c>
      <c r="C46" s="11" t="s">
        <v>5</v>
      </c>
      <c r="D46" s="3" t="s">
        <v>57</v>
      </c>
      <c r="E46" s="11" t="s">
        <v>59</v>
      </c>
    </row>
    <row r="47" spans="1:5" x14ac:dyDescent="0.25">
      <c r="A47" s="11">
        <v>6</v>
      </c>
      <c r="B47" s="3">
        <v>1</v>
      </c>
      <c r="C47" s="11" t="s">
        <v>5</v>
      </c>
      <c r="D47" s="3" t="s">
        <v>57</v>
      </c>
      <c r="E47" s="11" t="s">
        <v>59</v>
      </c>
    </row>
    <row r="48" spans="1:5" x14ac:dyDescent="0.25">
      <c r="A48" s="11">
        <v>12</v>
      </c>
      <c r="B48" s="3">
        <v>1</v>
      </c>
      <c r="C48" s="11" t="s">
        <v>5</v>
      </c>
      <c r="D48" s="3" t="s">
        <v>57</v>
      </c>
      <c r="E48" s="11" t="s">
        <v>59</v>
      </c>
    </row>
    <row r="49" spans="1:5" x14ac:dyDescent="0.25">
      <c r="A49" s="11">
        <v>54</v>
      </c>
      <c r="B49" s="3">
        <v>1</v>
      </c>
      <c r="C49" s="11" t="s">
        <v>5</v>
      </c>
      <c r="D49" s="3" t="s">
        <v>57</v>
      </c>
      <c r="E49" s="11" t="s">
        <v>59</v>
      </c>
    </row>
    <row r="50" spans="1:5" x14ac:dyDescent="0.25">
      <c r="A50" s="11">
        <v>56</v>
      </c>
      <c r="B50" s="3">
        <v>0</v>
      </c>
      <c r="C50" s="11" t="s">
        <v>5</v>
      </c>
      <c r="D50" s="3">
        <v>0</v>
      </c>
      <c r="E50" s="11" t="s">
        <v>59</v>
      </c>
    </row>
    <row r="51" spans="1:5" x14ac:dyDescent="0.25">
      <c r="A51" s="11">
        <v>68</v>
      </c>
      <c r="B51" s="3">
        <v>1</v>
      </c>
      <c r="C51" s="11" t="s">
        <v>5</v>
      </c>
      <c r="D51" s="3" t="s">
        <v>57</v>
      </c>
      <c r="E51" s="11" t="s">
        <v>59</v>
      </c>
    </row>
    <row r="52" spans="1:5" x14ac:dyDescent="0.25">
      <c r="A52" s="11">
        <v>89</v>
      </c>
      <c r="B52" s="3">
        <v>1</v>
      </c>
      <c r="C52" s="11" t="s">
        <v>5</v>
      </c>
      <c r="D52" s="3" t="s">
        <v>57</v>
      </c>
      <c r="E52" s="11" t="s">
        <v>59</v>
      </c>
    </row>
    <row r="53" spans="1:5" x14ac:dyDescent="0.25">
      <c r="A53" s="11">
        <v>96</v>
      </c>
      <c r="B53" s="3">
        <v>1</v>
      </c>
      <c r="C53" s="11" t="s">
        <v>5</v>
      </c>
      <c r="D53" s="3" t="s">
        <v>57</v>
      </c>
      <c r="E53" s="11" t="s">
        <v>59</v>
      </c>
    </row>
    <row r="54" spans="1:5" x14ac:dyDescent="0.25">
      <c r="A54" s="11">
        <v>96</v>
      </c>
      <c r="B54" s="3">
        <v>1</v>
      </c>
      <c r="C54" s="11" t="s">
        <v>5</v>
      </c>
      <c r="D54" s="3" t="s">
        <v>57</v>
      </c>
      <c r="E54" s="11" t="s">
        <v>59</v>
      </c>
    </row>
    <row r="55" spans="1:5" x14ac:dyDescent="0.25">
      <c r="A55" s="11">
        <v>125</v>
      </c>
      <c r="B55" s="3">
        <v>0</v>
      </c>
      <c r="C55" s="11" t="s">
        <v>5</v>
      </c>
      <c r="D55" s="3">
        <v>0</v>
      </c>
      <c r="E55" s="11" t="s">
        <v>59</v>
      </c>
    </row>
    <row r="56" spans="1:5" x14ac:dyDescent="0.25">
      <c r="A56" s="11">
        <v>128</v>
      </c>
      <c r="B56" s="3">
        <v>0</v>
      </c>
      <c r="C56" s="11" t="s">
        <v>5</v>
      </c>
      <c r="D56" s="3">
        <v>0</v>
      </c>
      <c r="E56" s="11" t="s">
        <v>59</v>
      </c>
    </row>
    <row r="57" spans="1:5" x14ac:dyDescent="0.25">
      <c r="A57" s="11">
        <v>131</v>
      </c>
      <c r="B57" s="3">
        <v>0</v>
      </c>
      <c r="C57" s="11" t="s">
        <v>5</v>
      </c>
      <c r="D57" s="3">
        <v>0</v>
      </c>
      <c r="E57" s="11" t="s">
        <v>59</v>
      </c>
    </row>
    <row r="58" spans="1:5" x14ac:dyDescent="0.25">
      <c r="A58" s="11">
        <v>140</v>
      </c>
      <c r="B58" s="3">
        <v>0</v>
      </c>
      <c r="C58" s="11" t="s">
        <v>5</v>
      </c>
      <c r="D58" s="3">
        <v>0</v>
      </c>
      <c r="E58" s="11" t="s">
        <v>59</v>
      </c>
    </row>
    <row r="59" spans="1:5" x14ac:dyDescent="0.25">
      <c r="A59" s="11">
        <v>141</v>
      </c>
      <c r="B59" s="3">
        <v>0</v>
      </c>
      <c r="C59" s="11" t="s">
        <v>5</v>
      </c>
      <c r="D59" s="3">
        <v>0</v>
      </c>
      <c r="E59" s="11" t="s">
        <v>59</v>
      </c>
    </row>
    <row r="60" spans="1:5" x14ac:dyDescent="0.25">
      <c r="A60" s="11">
        <v>143</v>
      </c>
      <c r="B60" s="3">
        <v>1</v>
      </c>
      <c r="C60" s="11" t="s">
        <v>5</v>
      </c>
      <c r="D60" s="3" t="s">
        <v>57</v>
      </c>
      <c r="E60" s="11" t="s">
        <v>59</v>
      </c>
    </row>
    <row r="61" spans="1:5" x14ac:dyDescent="0.25">
      <c r="A61" s="11">
        <v>145</v>
      </c>
      <c r="B61" s="3">
        <v>0</v>
      </c>
      <c r="C61" s="11" t="s">
        <v>5</v>
      </c>
      <c r="D61" s="3">
        <v>0</v>
      </c>
      <c r="E61" s="11" t="s">
        <v>59</v>
      </c>
    </row>
    <row r="62" spans="1:5" x14ac:dyDescent="0.25">
      <c r="A62" s="11">
        <v>146</v>
      </c>
      <c r="B62" s="3">
        <v>1</v>
      </c>
      <c r="C62" s="11" t="s">
        <v>5</v>
      </c>
      <c r="D62" s="3" t="s">
        <v>57</v>
      </c>
      <c r="E62" s="11" t="s">
        <v>59</v>
      </c>
    </row>
    <row r="63" spans="1:5" x14ac:dyDescent="0.25">
      <c r="A63" s="11">
        <v>148</v>
      </c>
      <c r="B63" s="3">
        <v>0</v>
      </c>
      <c r="C63" s="11" t="s">
        <v>5</v>
      </c>
      <c r="D63" s="3">
        <v>0</v>
      </c>
      <c r="E63" s="11" t="s">
        <v>59</v>
      </c>
    </row>
    <row r="64" spans="1:5" x14ac:dyDescent="0.25">
      <c r="A64" s="11">
        <v>162</v>
      </c>
      <c r="B64" s="3">
        <v>0</v>
      </c>
      <c r="C64" s="11" t="s">
        <v>5</v>
      </c>
      <c r="D64" s="3">
        <v>0</v>
      </c>
      <c r="E64" s="11" t="s">
        <v>59</v>
      </c>
    </row>
    <row r="65" spans="1:5" x14ac:dyDescent="0.25">
      <c r="A65" s="11">
        <v>168</v>
      </c>
      <c r="B65" s="3">
        <v>1</v>
      </c>
      <c r="C65" s="11" t="s">
        <v>5</v>
      </c>
      <c r="D65" s="3" t="s">
        <v>57</v>
      </c>
      <c r="E65" s="11" t="s">
        <v>59</v>
      </c>
    </row>
    <row r="66" spans="1:5" x14ac:dyDescent="0.25">
      <c r="A66" s="11">
        <v>2</v>
      </c>
      <c r="B66" s="3">
        <v>1</v>
      </c>
      <c r="C66" s="11" t="s">
        <v>6</v>
      </c>
      <c r="D66" s="3" t="s">
        <v>57</v>
      </c>
      <c r="E66" s="11" t="s">
        <v>59</v>
      </c>
    </row>
    <row r="67" spans="1:5" x14ac:dyDescent="0.25">
      <c r="A67" s="11">
        <v>3</v>
      </c>
      <c r="B67" s="3">
        <v>1</v>
      </c>
      <c r="C67" s="11" t="s">
        <v>6</v>
      </c>
      <c r="D67" s="3" t="s">
        <v>57</v>
      </c>
      <c r="E67" s="11" t="s">
        <v>59</v>
      </c>
    </row>
    <row r="68" spans="1:5" x14ac:dyDescent="0.25">
      <c r="A68" s="11">
        <v>4</v>
      </c>
      <c r="B68" s="3">
        <v>1</v>
      </c>
      <c r="C68" s="11" t="s">
        <v>6</v>
      </c>
      <c r="D68" s="3" t="s">
        <v>57</v>
      </c>
      <c r="E68" s="11" t="s">
        <v>59</v>
      </c>
    </row>
    <row r="69" spans="1:5" x14ac:dyDescent="0.25">
      <c r="A69" s="11">
        <v>7</v>
      </c>
      <c r="B69" s="3">
        <v>1</v>
      </c>
      <c r="C69" s="11" t="s">
        <v>6</v>
      </c>
      <c r="D69" s="3" t="s">
        <v>57</v>
      </c>
      <c r="E69" s="11" t="s">
        <v>59</v>
      </c>
    </row>
    <row r="70" spans="1:5" x14ac:dyDescent="0.25">
      <c r="A70" s="11">
        <v>10</v>
      </c>
      <c r="B70" s="3">
        <v>1</v>
      </c>
      <c r="C70" s="11" t="s">
        <v>6</v>
      </c>
      <c r="D70" s="3" t="s">
        <v>57</v>
      </c>
      <c r="E70" s="11" t="s">
        <v>59</v>
      </c>
    </row>
    <row r="71" spans="1:5" x14ac:dyDescent="0.25">
      <c r="A71" s="11">
        <v>22</v>
      </c>
      <c r="B71" s="3">
        <v>1</v>
      </c>
      <c r="C71" s="11" t="s">
        <v>6</v>
      </c>
      <c r="D71" s="3" t="s">
        <v>57</v>
      </c>
      <c r="E71" s="11" t="s">
        <v>59</v>
      </c>
    </row>
    <row r="72" spans="1:5" x14ac:dyDescent="0.25">
      <c r="A72" s="11">
        <v>28</v>
      </c>
      <c r="B72" s="3">
        <v>1</v>
      </c>
      <c r="C72" s="11" t="s">
        <v>6</v>
      </c>
      <c r="D72" s="3" t="s">
        <v>57</v>
      </c>
      <c r="E72" s="11" t="s">
        <v>59</v>
      </c>
    </row>
    <row r="73" spans="1:5" x14ac:dyDescent="0.25">
      <c r="A73" s="11">
        <v>29</v>
      </c>
      <c r="B73" s="3">
        <v>1</v>
      </c>
      <c r="C73" s="11" t="s">
        <v>6</v>
      </c>
      <c r="D73" s="3" t="s">
        <v>57</v>
      </c>
      <c r="E73" s="11" t="s">
        <v>59</v>
      </c>
    </row>
    <row r="74" spans="1:5" x14ac:dyDescent="0.25">
      <c r="A74" s="11">
        <v>32</v>
      </c>
      <c r="B74" s="3">
        <v>1</v>
      </c>
      <c r="C74" s="11" t="s">
        <v>6</v>
      </c>
      <c r="D74" s="3" t="s">
        <v>57</v>
      </c>
      <c r="E74" s="11" t="s">
        <v>59</v>
      </c>
    </row>
    <row r="75" spans="1:5" x14ac:dyDescent="0.25">
      <c r="A75" s="11">
        <v>37</v>
      </c>
      <c r="B75" s="3">
        <v>1</v>
      </c>
      <c r="C75" s="11" t="s">
        <v>6</v>
      </c>
      <c r="D75" s="3" t="s">
        <v>57</v>
      </c>
      <c r="E75" s="11" t="s">
        <v>59</v>
      </c>
    </row>
    <row r="76" spans="1:5" x14ac:dyDescent="0.25">
      <c r="A76" s="11">
        <v>40</v>
      </c>
      <c r="B76" s="3">
        <v>1</v>
      </c>
      <c r="C76" s="11" t="s">
        <v>6</v>
      </c>
      <c r="D76" s="3" t="s">
        <v>57</v>
      </c>
      <c r="E76" s="11" t="s">
        <v>59</v>
      </c>
    </row>
    <row r="77" spans="1:5" x14ac:dyDescent="0.25">
      <c r="A77" s="11">
        <v>41</v>
      </c>
      <c r="B77" s="3">
        <v>1</v>
      </c>
      <c r="C77" s="11" t="s">
        <v>6</v>
      </c>
      <c r="D77" s="3" t="s">
        <v>57</v>
      </c>
      <c r="E77" s="11" t="s">
        <v>59</v>
      </c>
    </row>
    <row r="78" spans="1:5" x14ac:dyDescent="0.25">
      <c r="A78" s="11">
        <v>54</v>
      </c>
      <c r="B78" s="3">
        <v>1</v>
      </c>
      <c r="C78" s="11" t="s">
        <v>6</v>
      </c>
      <c r="D78" s="3" t="s">
        <v>57</v>
      </c>
      <c r="E78" s="11" t="s">
        <v>59</v>
      </c>
    </row>
    <row r="79" spans="1:5" x14ac:dyDescent="0.25">
      <c r="A79" s="11">
        <v>61</v>
      </c>
      <c r="B79" s="3">
        <v>1</v>
      </c>
      <c r="C79" s="11" t="s">
        <v>6</v>
      </c>
      <c r="D79" s="3" t="s">
        <v>57</v>
      </c>
      <c r="E79" s="11" t="s">
        <v>59</v>
      </c>
    </row>
    <row r="80" spans="1:5" x14ac:dyDescent="0.25">
      <c r="A80" s="11">
        <v>63</v>
      </c>
      <c r="B80" s="3">
        <v>1</v>
      </c>
      <c r="C80" s="11" t="s">
        <v>6</v>
      </c>
      <c r="D80" s="3" t="s">
        <v>57</v>
      </c>
      <c r="E80" s="11" t="s">
        <v>59</v>
      </c>
    </row>
    <row r="81" spans="1:5" x14ac:dyDescent="0.25">
      <c r="A81" s="11">
        <v>71</v>
      </c>
      <c r="B81" s="3">
        <v>1</v>
      </c>
      <c r="C81" s="11" t="s">
        <v>6</v>
      </c>
      <c r="D81" s="3" t="s">
        <v>57</v>
      </c>
      <c r="E81" s="11" t="s">
        <v>59</v>
      </c>
    </row>
    <row r="82" spans="1:5" x14ac:dyDescent="0.25">
      <c r="A82" s="11">
        <v>127</v>
      </c>
      <c r="B82" s="3">
        <v>0</v>
      </c>
      <c r="C82" s="11" t="s">
        <v>6</v>
      </c>
      <c r="D82" s="3">
        <v>0</v>
      </c>
      <c r="E82" s="11" t="s">
        <v>59</v>
      </c>
    </row>
    <row r="83" spans="1:5" x14ac:dyDescent="0.25">
      <c r="A83" s="11">
        <v>140</v>
      </c>
      <c r="B83" s="3">
        <v>0</v>
      </c>
      <c r="C83" s="11" t="s">
        <v>6</v>
      </c>
      <c r="D83" s="3">
        <v>0</v>
      </c>
      <c r="E83" s="11" t="s">
        <v>59</v>
      </c>
    </row>
    <row r="84" spans="1:5" x14ac:dyDescent="0.25">
      <c r="A84" s="11">
        <v>146</v>
      </c>
      <c r="B84" s="3">
        <v>0</v>
      </c>
      <c r="C84" s="11" t="s">
        <v>6</v>
      </c>
      <c r="D84" s="3">
        <v>0</v>
      </c>
      <c r="E84" s="11" t="s">
        <v>59</v>
      </c>
    </row>
    <row r="85" spans="1:5" x14ac:dyDescent="0.25">
      <c r="A85" s="11">
        <v>158</v>
      </c>
      <c r="B85" s="3">
        <v>0</v>
      </c>
      <c r="C85" s="11" t="s">
        <v>6</v>
      </c>
      <c r="D85" s="3">
        <v>0</v>
      </c>
      <c r="E85" s="11" t="s">
        <v>59</v>
      </c>
    </row>
    <row r="86" spans="1:5" x14ac:dyDescent="0.25">
      <c r="A86" s="11">
        <v>168</v>
      </c>
      <c r="B86" s="3">
        <v>0</v>
      </c>
      <c r="C86" s="11" t="s">
        <v>5</v>
      </c>
      <c r="D86" s="3">
        <v>0</v>
      </c>
      <c r="E86" s="11" t="s">
        <v>59</v>
      </c>
    </row>
    <row r="87" spans="1:5" x14ac:dyDescent="0.25">
      <c r="A87" s="11">
        <v>168</v>
      </c>
      <c r="B87" s="3">
        <v>0</v>
      </c>
      <c r="C87" s="11" t="s">
        <v>5</v>
      </c>
      <c r="D87" s="3">
        <v>0</v>
      </c>
      <c r="E87" s="11" t="s">
        <v>59</v>
      </c>
    </row>
    <row r="88" spans="1:5" x14ac:dyDescent="0.25">
      <c r="A88" s="11">
        <v>168</v>
      </c>
      <c r="B88" s="3">
        <v>0</v>
      </c>
      <c r="C88" s="11" t="s">
        <v>6</v>
      </c>
      <c r="D88" s="3">
        <v>0</v>
      </c>
      <c r="E88" s="11" t="s">
        <v>59</v>
      </c>
    </row>
    <row r="89" spans="1:5" x14ac:dyDescent="0.25">
      <c r="A89" s="11">
        <v>168</v>
      </c>
      <c r="B89" s="3">
        <v>0</v>
      </c>
      <c r="C89" s="11" t="s">
        <v>6</v>
      </c>
      <c r="D89" s="3">
        <v>0</v>
      </c>
      <c r="E89" s="11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workbookViewId="0">
      <pane ySplit="1" topLeftCell="A2" activePane="bottomLeft" state="frozen"/>
      <selection pane="bottomLeft" sqref="A1:F1048576"/>
    </sheetView>
  </sheetViews>
  <sheetFormatPr defaultColWidth="8.85546875" defaultRowHeight="15" x14ac:dyDescent="0.25"/>
  <cols>
    <col min="1" max="1" width="12.5703125" style="1" bestFit="1" customWidth="1"/>
    <col min="2" max="2" width="9.140625" style="1" bestFit="1" customWidth="1"/>
    <col min="3" max="3" width="7.7109375" style="1" bestFit="1" customWidth="1"/>
    <col min="4" max="4" width="7" style="1" bestFit="1" customWidth="1"/>
    <col min="5" max="5" width="5.140625" style="1" bestFit="1" customWidth="1"/>
    <col min="6" max="6" width="7.28515625" style="7" bestFit="1" customWidth="1"/>
    <col min="7" max="16384" width="8.85546875" style="1"/>
  </cols>
  <sheetData>
    <row r="1" spans="1:6" s="7" customFormat="1" x14ac:dyDescent="0.25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76</v>
      </c>
    </row>
    <row r="2" spans="1:6" x14ac:dyDescent="0.25">
      <c r="A2" s="1">
        <v>518</v>
      </c>
      <c r="B2" s="1">
        <v>1</v>
      </c>
      <c r="C2" s="1">
        <v>0</v>
      </c>
      <c r="D2" s="1">
        <v>113</v>
      </c>
      <c r="E2" s="1">
        <v>20</v>
      </c>
      <c r="F2" s="7" t="s">
        <v>8</v>
      </c>
    </row>
    <row r="3" spans="1:6" x14ac:dyDescent="0.25">
      <c r="A3" s="1">
        <v>270</v>
      </c>
      <c r="B3" s="1">
        <v>1</v>
      </c>
      <c r="C3" s="1">
        <v>0</v>
      </c>
      <c r="D3" s="1">
        <v>1179.4000000000001</v>
      </c>
      <c r="E3" s="1">
        <v>10</v>
      </c>
      <c r="F3" s="7" t="s">
        <v>17</v>
      </c>
    </row>
    <row r="4" spans="1:6" x14ac:dyDescent="0.25">
      <c r="A4" s="1">
        <v>238</v>
      </c>
      <c r="B4" s="1">
        <v>0</v>
      </c>
      <c r="C4" s="1">
        <v>1</v>
      </c>
      <c r="D4" s="1">
        <v>30.4</v>
      </c>
      <c r="E4" s="1">
        <v>35</v>
      </c>
      <c r="F4" s="7" t="s">
        <v>8</v>
      </c>
    </row>
    <row r="5" spans="1:6" x14ac:dyDescent="0.25">
      <c r="A5" s="1">
        <v>1145</v>
      </c>
      <c r="B5" s="1">
        <v>0</v>
      </c>
      <c r="C5" s="1">
        <v>0</v>
      </c>
      <c r="D5" s="1">
        <v>152</v>
      </c>
      <c r="E5" s="1">
        <v>25</v>
      </c>
      <c r="F5" s="7" t="s">
        <v>17</v>
      </c>
    </row>
    <row r="6" spans="1:6" x14ac:dyDescent="0.25">
      <c r="A6" s="1">
        <v>462</v>
      </c>
      <c r="B6" s="1">
        <v>0</v>
      </c>
      <c r="C6" s="1">
        <v>0</v>
      </c>
      <c r="D6" s="1">
        <v>2038.2</v>
      </c>
      <c r="E6" s="1">
        <v>75</v>
      </c>
      <c r="F6" s="7" t="s">
        <v>8</v>
      </c>
    </row>
    <row r="7" spans="1:6" x14ac:dyDescent="0.25">
      <c r="A7" s="1">
        <v>931</v>
      </c>
      <c r="B7" s="1">
        <v>0</v>
      </c>
      <c r="C7" s="1">
        <v>1</v>
      </c>
      <c r="D7" s="1">
        <v>238.5</v>
      </c>
      <c r="E7" s="1">
        <v>30</v>
      </c>
      <c r="F7" s="7" t="s">
        <v>17</v>
      </c>
    </row>
    <row r="8" spans="1:6" x14ac:dyDescent="0.25">
      <c r="A8" s="1">
        <v>892</v>
      </c>
      <c r="B8" s="1">
        <v>0</v>
      </c>
      <c r="C8" s="1">
        <v>1</v>
      </c>
      <c r="D8" s="1">
        <v>1056</v>
      </c>
      <c r="E8" s="1">
        <v>20</v>
      </c>
      <c r="F8" s="7" t="s">
        <v>8</v>
      </c>
    </row>
    <row r="9" spans="1:6" x14ac:dyDescent="0.25">
      <c r="A9" s="1">
        <v>200</v>
      </c>
      <c r="B9" s="1">
        <v>0</v>
      </c>
      <c r="C9" s="1">
        <v>0</v>
      </c>
      <c r="D9" s="1">
        <v>188.3</v>
      </c>
      <c r="E9" s="1">
        <v>25</v>
      </c>
      <c r="F9" s="7" t="s">
        <v>17</v>
      </c>
    </row>
    <row r="10" spans="1:6" x14ac:dyDescent="0.25">
      <c r="A10" s="1">
        <v>203</v>
      </c>
      <c r="B10" s="1">
        <v>0</v>
      </c>
      <c r="C10" s="1">
        <v>0</v>
      </c>
      <c r="D10" s="1">
        <v>116.8</v>
      </c>
      <c r="E10" s="1">
        <v>15</v>
      </c>
      <c r="F10" s="7" t="s">
        <v>8</v>
      </c>
    </row>
    <row r="11" spans="1:6" x14ac:dyDescent="0.25">
      <c r="A11" s="1">
        <v>921</v>
      </c>
      <c r="B11" s="1">
        <v>0</v>
      </c>
      <c r="C11" s="1">
        <v>0</v>
      </c>
      <c r="D11" s="1">
        <v>309</v>
      </c>
      <c r="E11" s="1">
        <v>30</v>
      </c>
      <c r="F11" s="7" t="s">
        <v>17</v>
      </c>
    </row>
    <row r="12" spans="1:6" x14ac:dyDescent="0.25">
      <c r="A12" s="1">
        <v>385</v>
      </c>
      <c r="B12" s="1">
        <v>0</v>
      </c>
      <c r="C12" s="1">
        <v>0</v>
      </c>
      <c r="D12" s="1">
        <v>3</v>
      </c>
      <c r="E12" s="1">
        <v>15</v>
      </c>
      <c r="F12" s="7" t="s">
        <v>8</v>
      </c>
    </row>
    <row r="13" spans="1:6" x14ac:dyDescent="0.25">
      <c r="A13" s="1">
        <v>1000</v>
      </c>
      <c r="B13" s="1">
        <v>0</v>
      </c>
      <c r="C13" s="1">
        <v>1</v>
      </c>
      <c r="D13" s="1">
        <v>803</v>
      </c>
      <c r="E13" s="1">
        <v>15</v>
      </c>
      <c r="F13" s="7" t="s">
        <v>17</v>
      </c>
    </row>
    <row r="14" spans="1:6" x14ac:dyDescent="0.25">
      <c r="A14" s="1">
        <v>1064</v>
      </c>
      <c r="B14" s="1">
        <v>0</v>
      </c>
      <c r="C14" s="1">
        <v>1</v>
      </c>
      <c r="D14" s="1">
        <v>143</v>
      </c>
      <c r="E14" s="1">
        <v>30</v>
      </c>
      <c r="F14" s="7" t="s">
        <v>8</v>
      </c>
    </row>
    <row r="15" spans="1:6" x14ac:dyDescent="0.25">
      <c r="A15" s="1">
        <v>970</v>
      </c>
      <c r="B15" s="1">
        <v>0</v>
      </c>
      <c r="C15" s="1">
        <v>0</v>
      </c>
      <c r="D15" s="1">
        <v>95.8</v>
      </c>
      <c r="E15" s="1">
        <v>30</v>
      </c>
      <c r="F15" s="7" t="s">
        <v>17</v>
      </c>
    </row>
    <row r="16" spans="1:6" x14ac:dyDescent="0.25">
      <c r="A16" s="1">
        <v>903</v>
      </c>
      <c r="B16" s="1">
        <v>0</v>
      </c>
      <c r="C16" s="1">
        <v>1</v>
      </c>
      <c r="D16" s="1">
        <v>291</v>
      </c>
      <c r="E16" s="1">
        <v>15</v>
      </c>
      <c r="F16" s="7" t="s">
        <v>8</v>
      </c>
    </row>
    <row r="17" spans="1:6" x14ac:dyDescent="0.25">
      <c r="A17" s="1">
        <v>651</v>
      </c>
      <c r="B17" s="1">
        <v>0</v>
      </c>
      <c r="C17" s="1">
        <v>0</v>
      </c>
      <c r="D17" s="1">
        <v>71.8</v>
      </c>
      <c r="E17" s="1">
        <v>25</v>
      </c>
      <c r="F17" s="7" t="s">
        <v>17</v>
      </c>
    </row>
    <row r="18" spans="1:6" x14ac:dyDescent="0.25">
      <c r="A18" s="1">
        <v>382</v>
      </c>
      <c r="B18" s="1">
        <v>0</v>
      </c>
      <c r="C18" s="1">
        <v>1</v>
      </c>
      <c r="D18" s="1">
        <v>465.5</v>
      </c>
      <c r="E18" s="1">
        <v>12.5</v>
      </c>
      <c r="F18" s="7" t="s">
        <v>8</v>
      </c>
    </row>
    <row r="19" spans="1:6" x14ac:dyDescent="0.25">
      <c r="A19" s="1">
        <v>139</v>
      </c>
      <c r="B19" s="1">
        <v>1</v>
      </c>
      <c r="C19" s="1">
        <v>0</v>
      </c>
      <c r="D19" s="1">
        <v>1333.2</v>
      </c>
      <c r="E19" s="1">
        <v>15</v>
      </c>
      <c r="F19" s="7" t="s">
        <v>17</v>
      </c>
    </row>
    <row r="20" spans="1:6" x14ac:dyDescent="0.25">
      <c r="A20" s="1">
        <v>402</v>
      </c>
      <c r="B20" s="1">
        <v>0</v>
      </c>
      <c r="C20" s="1">
        <v>0</v>
      </c>
      <c r="D20" s="1">
        <v>81.8</v>
      </c>
      <c r="E20" s="1">
        <v>40</v>
      </c>
      <c r="F20" s="7" t="s">
        <v>8</v>
      </c>
    </row>
    <row r="21" spans="1:6" x14ac:dyDescent="0.25">
      <c r="A21" s="1">
        <v>323</v>
      </c>
      <c r="B21" s="1">
        <v>0</v>
      </c>
      <c r="C21" s="1">
        <v>1</v>
      </c>
      <c r="D21" s="1">
        <v>124.7</v>
      </c>
      <c r="E21" s="1">
        <v>40</v>
      </c>
      <c r="F21" s="7" t="s">
        <v>17</v>
      </c>
    </row>
    <row r="22" spans="1:6" x14ac:dyDescent="0.25">
      <c r="A22" s="1">
        <v>957</v>
      </c>
      <c r="B22" s="1">
        <v>0</v>
      </c>
      <c r="C22" s="1">
        <v>1</v>
      </c>
      <c r="D22" s="1">
        <v>25</v>
      </c>
      <c r="E22" s="1">
        <v>25</v>
      </c>
      <c r="F22" s="7" t="s">
        <v>8</v>
      </c>
    </row>
    <row r="23" spans="1:6" x14ac:dyDescent="0.25">
      <c r="A23" s="1">
        <v>340</v>
      </c>
      <c r="B23" s="1">
        <v>0</v>
      </c>
      <c r="C23" s="1">
        <v>0</v>
      </c>
      <c r="D23" s="1">
        <v>670</v>
      </c>
      <c r="E23" s="1">
        <v>30</v>
      </c>
      <c r="F23" s="7" t="s">
        <v>17</v>
      </c>
    </row>
    <row r="24" spans="1:6" x14ac:dyDescent="0.25">
      <c r="A24" s="1">
        <v>1134</v>
      </c>
      <c r="B24" s="1">
        <v>0</v>
      </c>
      <c r="C24" s="1">
        <v>1</v>
      </c>
      <c r="D24" s="1">
        <v>253</v>
      </c>
      <c r="E24" s="1">
        <v>20</v>
      </c>
      <c r="F24" s="7" t="s">
        <v>8</v>
      </c>
    </row>
    <row r="25" spans="1:6" x14ac:dyDescent="0.25">
      <c r="A25" s="1">
        <v>152</v>
      </c>
      <c r="B25" s="1">
        <v>1</v>
      </c>
      <c r="C25" s="1">
        <v>0</v>
      </c>
      <c r="D25" s="1">
        <v>1086.5999999999999</v>
      </c>
      <c r="E25" s="1">
        <v>10</v>
      </c>
      <c r="F25" s="7" t="s">
        <v>17</v>
      </c>
    </row>
    <row r="26" spans="1:6" x14ac:dyDescent="0.25">
      <c r="A26" s="1">
        <v>337</v>
      </c>
      <c r="B26" s="1">
        <v>0</v>
      </c>
      <c r="C26" s="1">
        <v>1</v>
      </c>
      <c r="D26" s="1">
        <v>148.80000000000001</v>
      </c>
      <c r="E26" s="1">
        <v>30</v>
      </c>
      <c r="F26" s="7" t="s">
        <v>8</v>
      </c>
    </row>
    <row r="27" spans="1:6" x14ac:dyDescent="0.25">
      <c r="A27" s="1">
        <v>1092</v>
      </c>
      <c r="B27" s="1">
        <v>0</v>
      </c>
      <c r="C27" s="1">
        <v>1</v>
      </c>
      <c r="D27" s="1">
        <v>199.8</v>
      </c>
      <c r="E27" s="1">
        <v>45</v>
      </c>
      <c r="F27" s="7" t="s">
        <v>17</v>
      </c>
    </row>
    <row r="28" spans="1:6" x14ac:dyDescent="0.25">
      <c r="A28" s="1">
        <v>242</v>
      </c>
      <c r="B28" s="1">
        <v>0</v>
      </c>
      <c r="C28" s="1">
        <v>0</v>
      </c>
      <c r="D28" s="1">
        <v>49.9</v>
      </c>
      <c r="E28" s="1">
        <v>30</v>
      </c>
      <c r="F28" s="7" t="s">
        <v>8</v>
      </c>
    </row>
    <row r="29" spans="1:6" x14ac:dyDescent="0.25">
      <c r="A29" s="1">
        <v>540</v>
      </c>
      <c r="B29" s="1">
        <v>1</v>
      </c>
      <c r="C29" s="1">
        <v>1</v>
      </c>
      <c r="D29" s="1">
        <v>125.8</v>
      </c>
      <c r="E29" s="1">
        <v>30</v>
      </c>
      <c r="F29" s="7" t="s">
        <v>17</v>
      </c>
    </row>
    <row r="30" spans="1:6" x14ac:dyDescent="0.25">
      <c r="A30" s="1">
        <v>224</v>
      </c>
      <c r="B30" s="1">
        <v>0</v>
      </c>
      <c r="C30" s="1">
        <v>1</v>
      </c>
      <c r="D30" s="1">
        <v>90.1</v>
      </c>
      <c r="E30" s="1">
        <v>49</v>
      </c>
      <c r="F30" s="7" t="s">
        <v>8</v>
      </c>
    </row>
    <row r="31" spans="1:6" x14ac:dyDescent="0.25">
      <c r="A31" s="1">
        <v>374</v>
      </c>
      <c r="B31" s="1">
        <v>0</v>
      </c>
      <c r="C31" s="1">
        <v>0</v>
      </c>
      <c r="D31" s="1">
        <v>122.5</v>
      </c>
      <c r="E31" s="1">
        <v>10</v>
      </c>
      <c r="F31" s="7" t="s">
        <v>17</v>
      </c>
    </row>
    <row r="32" spans="1:6" x14ac:dyDescent="0.25">
      <c r="A32" s="1">
        <v>532</v>
      </c>
      <c r="B32" s="1">
        <v>0</v>
      </c>
      <c r="C32" s="1">
        <v>1</v>
      </c>
      <c r="D32" s="1">
        <v>223.5</v>
      </c>
      <c r="E32" s="1">
        <v>15</v>
      </c>
      <c r="F32" s="7" t="s">
        <v>8</v>
      </c>
    </row>
    <row r="33" spans="1:6" x14ac:dyDescent="0.25">
      <c r="A33" s="1">
        <v>1036</v>
      </c>
      <c r="B33" s="1">
        <v>0</v>
      </c>
      <c r="C33" s="1">
        <v>1</v>
      </c>
      <c r="D33" s="1">
        <v>11</v>
      </c>
      <c r="E33" s="1">
        <v>51</v>
      </c>
      <c r="F33" s="7" t="s">
        <v>17</v>
      </c>
    </row>
    <row r="34" spans="1:6" x14ac:dyDescent="0.25">
      <c r="A34" s="1">
        <v>385</v>
      </c>
      <c r="B34" s="1">
        <v>0</v>
      </c>
      <c r="C34" s="1">
        <v>1</v>
      </c>
      <c r="D34" s="1">
        <v>323.2</v>
      </c>
      <c r="E34" s="1">
        <v>20</v>
      </c>
      <c r="F34" s="7" t="s">
        <v>8</v>
      </c>
    </row>
    <row r="35" spans="1:6" x14ac:dyDescent="0.25">
      <c r="A35" s="1">
        <v>737</v>
      </c>
      <c r="B35" s="1">
        <v>1</v>
      </c>
      <c r="C35" s="1">
        <v>1</v>
      </c>
      <c r="D35" s="1">
        <v>377</v>
      </c>
      <c r="E35" s="1">
        <v>25</v>
      </c>
      <c r="F35" s="7" t="s">
        <v>17</v>
      </c>
    </row>
    <row r="36" spans="1:6" x14ac:dyDescent="0.25">
      <c r="A36" s="1">
        <v>322</v>
      </c>
      <c r="B36" s="1">
        <v>0</v>
      </c>
      <c r="C36" s="1">
        <v>0</v>
      </c>
      <c r="D36" s="1">
        <v>6.8</v>
      </c>
      <c r="E36" s="1">
        <v>64</v>
      </c>
      <c r="F36" s="7" t="s">
        <v>8</v>
      </c>
    </row>
    <row r="37" spans="1:6" x14ac:dyDescent="0.25">
      <c r="A37" s="1">
        <v>140</v>
      </c>
      <c r="B37" s="1">
        <v>0</v>
      </c>
      <c r="C37" s="1">
        <v>0</v>
      </c>
      <c r="D37" s="1">
        <v>188.5</v>
      </c>
      <c r="E37" s="1">
        <v>20</v>
      </c>
      <c r="F37" s="7" t="s">
        <v>17</v>
      </c>
    </row>
    <row r="38" spans="1:6" x14ac:dyDescent="0.25">
      <c r="A38" s="1">
        <v>945</v>
      </c>
      <c r="B38" s="1">
        <v>0</v>
      </c>
      <c r="C38" s="1">
        <v>1</v>
      </c>
      <c r="D38" s="1">
        <v>26</v>
      </c>
      <c r="E38" s="1">
        <v>50</v>
      </c>
      <c r="F38" s="7" t="s">
        <v>8</v>
      </c>
    </row>
    <row r="39" spans="1:6" x14ac:dyDescent="0.25">
      <c r="A39" s="1">
        <v>491</v>
      </c>
      <c r="B39" s="1">
        <v>1</v>
      </c>
      <c r="C39" s="1">
        <v>0</v>
      </c>
      <c r="D39" s="1">
        <v>1350</v>
      </c>
      <c r="E39" s="1">
        <v>15</v>
      </c>
      <c r="F39" s="7" t="s">
        <v>17</v>
      </c>
    </row>
    <row r="40" spans="1:6" x14ac:dyDescent="0.25">
      <c r="A40" s="1">
        <v>882</v>
      </c>
      <c r="B40" s="1">
        <v>0</v>
      </c>
      <c r="C40" s="1">
        <v>0</v>
      </c>
      <c r="D40" s="1">
        <v>62</v>
      </c>
      <c r="E40" s="1">
        <v>44</v>
      </c>
      <c r="F40" s="7" t="s">
        <v>8</v>
      </c>
    </row>
    <row r="41" spans="1:6" x14ac:dyDescent="0.25">
      <c r="A41" s="1">
        <v>196</v>
      </c>
      <c r="B41" s="1">
        <v>0</v>
      </c>
      <c r="C41" s="1">
        <v>0</v>
      </c>
      <c r="D41" s="1">
        <v>496.2</v>
      </c>
      <c r="E41" s="1">
        <v>15</v>
      </c>
      <c r="F41" s="7" t="s">
        <v>17</v>
      </c>
    </row>
    <row r="42" spans="1:6" x14ac:dyDescent="0.25">
      <c r="A42" s="1">
        <v>868</v>
      </c>
      <c r="B42" s="1">
        <v>0</v>
      </c>
      <c r="C42" s="1">
        <v>1</v>
      </c>
      <c r="D42" s="1">
        <v>246.2</v>
      </c>
      <c r="E42" s="1">
        <v>30</v>
      </c>
      <c r="F42" s="7" t="s">
        <v>8</v>
      </c>
    </row>
    <row r="43" spans="1:6" x14ac:dyDescent="0.25">
      <c r="A43" s="1">
        <v>882</v>
      </c>
      <c r="B43" s="1">
        <v>0</v>
      </c>
      <c r="C43" s="1">
        <v>0</v>
      </c>
      <c r="D43" s="1">
        <v>1035</v>
      </c>
      <c r="E43" s="1">
        <v>20</v>
      </c>
      <c r="F43" s="7" t="s">
        <v>17</v>
      </c>
    </row>
    <row r="44" spans="1:6" x14ac:dyDescent="0.25">
      <c r="A44" s="1">
        <v>795</v>
      </c>
      <c r="B44" s="1">
        <v>0</v>
      </c>
      <c r="C44" s="1">
        <v>1</v>
      </c>
      <c r="D44" s="1">
        <v>165.4</v>
      </c>
      <c r="E44" s="1">
        <v>20</v>
      </c>
      <c r="F44" s="7" t="s">
        <v>8</v>
      </c>
    </row>
    <row r="45" spans="1:6" x14ac:dyDescent="0.25">
      <c r="A45" s="1">
        <v>1001</v>
      </c>
      <c r="B45" s="1">
        <v>0</v>
      </c>
      <c r="C45" s="1">
        <v>1</v>
      </c>
      <c r="D45" s="1">
        <v>615</v>
      </c>
      <c r="E45" s="1">
        <v>20</v>
      </c>
      <c r="F45" s="7" t="s">
        <v>17</v>
      </c>
    </row>
    <row r="46" spans="1:6" x14ac:dyDescent="0.25">
      <c r="A46" s="1">
        <v>1117</v>
      </c>
      <c r="B46" s="1">
        <v>0</v>
      </c>
      <c r="C46" s="1">
        <v>1</v>
      </c>
      <c r="D46" s="1">
        <v>574</v>
      </c>
      <c r="E46" s="1">
        <v>15</v>
      </c>
      <c r="F46" s="7" t="s">
        <v>8</v>
      </c>
    </row>
    <row r="47" spans="1:6" x14ac:dyDescent="0.25">
      <c r="A47" s="1">
        <v>308</v>
      </c>
      <c r="B47" s="1">
        <v>0</v>
      </c>
      <c r="C47" s="1">
        <v>1</v>
      </c>
      <c r="D47" s="1">
        <v>29.6</v>
      </c>
      <c r="E47" s="1">
        <v>25</v>
      </c>
      <c r="F47" s="7" t="s">
        <v>17</v>
      </c>
    </row>
    <row r="48" spans="1:6" x14ac:dyDescent="0.25">
      <c r="A48" s="1">
        <v>977</v>
      </c>
      <c r="B48" s="1">
        <v>0</v>
      </c>
      <c r="C48" s="1">
        <v>0</v>
      </c>
      <c r="D48" s="1">
        <v>51</v>
      </c>
      <c r="E48" s="1">
        <v>20</v>
      </c>
      <c r="F48" s="7" t="s">
        <v>8</v>
      </c>
    </row>
    <row r="49" spans="1:6" x14ac:dyDescent="0.25">
      <c r="A49" s="1">
        <v>469</v>
      </c>
      <c r="B49" s="1">
        <v>1</v>
      </c>
      <c r="C49" s="1">
        <v>1</v>
      </c>
      <c r="D49" s="1">
        <v>1043</v>
      </c>
      <c r="E49" s="1">
        <v>20</v>
      </c>
      <c r="F49" s="7" t="s">
        <v>17</v>
      </c>
    </row>
    <row r="50" spans="1:6" x14ac:dyDescent="0.25">
      <c r="A50" s="1">
        <v>925</v>
      </c>
      <c r="B50" s="1">
        <v>0</v>
      </c>
      <c r="C50" s="1">
        <v>0</v>
      </c>
      <c r="D50" s="1">
        <v>799.6</v>
      </c>
      <c r="E50" s="1">
        <v>20</v>
      </c>
      <c r="F50" s="7" t="s">
        <v>8</v>
      </c>
    </row>
    <row r="51" spans="1:6" x14ac:dyDescent="0.25">
      <c r="A51" s="1">
        <v>354</v>
      </c>
      <c r="B51" s="1">
        <v>0</v>
      </c>
      <c r="C51" s="1">
        <v>0</v>
      </c>
      <c r="D51" s="1">
        <v>123.5</v>
      </c>
      <c r="E51" s="1">
        <v>32.5</v>
      </c>
      <c r="F51" s="7" t="s">
        <v>17</v>
      </c>
    </row>
    <row r="52" spans="1:6" x14ac:dyDescent="0.25">
      <c r="A52" s="1">
        <v>1022</v>
      </c>
      <c r="B52" s="1">
        <v>0</v>
      </c>
      <c r="C52" s="1">
        <v>0</v>
      </c>
      <c r="D52" s="1">
        <v>1365</v>
      </c>
      <c r="E52" s="1">
        <v>20</v>
      </c>
      <c r="F52" s="7" t="s">
        <v>8</v>
      </c>
    </row>
    <row r="53" spans="1:6" x14ac:dyDescent="0.25">
      <c r="A53" s="1">
        <v>767</v>
      </c>
      <c r="B53" s="1">
        <v>0</v>
      </c>
      <c r="C53" s="1">
        <v>0</v>
      </c>
      <c r="D53" s="1">
        <v>506.8</v>
      </c>
      <c r="E53" s="1">
        <v>40</v>
      </c>
      <c r="F53" s="7" t="s">
        <v>17</v>
      </c>
    </row>
    <row r="54" spans="1:6" x14ac:dyDescent="0.25">
      <c r="A54" s="1">
        <v>322</v>
      </c>
      <c r="B54" s="1">
        <v>0</v>
      </c>
      <c r="C54" s="1">
        <v>0</v>
      </c>
      <c r="D54" s="1">
        <v>58.5</v>
      </c>
      <c r="E54" s="1">
        <v>60</v>
      </c>
      <c r="F54" s="7" t="s">
        <v>8</v>
      </c>
    </row>
    <row r="55" spans="1:6" x14ac:dyDescent="0.25">
      <c r="A55" s="1">
        <v>56</v>
      </c>
      <c r="B55" s="1">
        <v>0</v>
      </c>
      <c r="C55" s="1">
        <v>0</v>
      </c>
      <c r="D55" s="1">
        <v>1233.3</v>
      </c>
      <c r="E55" s="1">
        <v>20</v>
      </c>
      <c r="F55" s="7" t="s">
        <v>17</v>
      </c>
    </row>
    <row r="56" spans="1:6" x14ac:dyDescent="0.25">
      <c r="A56" s="1">
        <v>910</v>
      </c>
      <c r="B56" s="1">
        <v>0</v>
      </c>
      <c r="C56" s="1">
        <v>1</v>
      </c>
      <c r="D56" s="1">
        <v>65</v>
      </c>
      <c r="E56" s="1">
        <v>10</v>
      </c>
      <c r="F56" s="7" t="s">
        <v>8</v>
      </c>
    </row>
    <row r="57" spans="1:6" x14ac:dyDescent="0.25">
      <c r="A57" s="1">
        <v>977</v>
      </c>
      <c r="B57" s="1">
        <v>0</v>
      </c>
      <c r="C57" s="1">
        <v>1</v>
      </c>
      <c r="D57" s="1">
        <v>242</v>
      </c>
      <c r="E57" s="1">
        <v>15</v>
      </c>
      <c r="F57" s="7" t="s">
        <v>17</v>
      </c>
    </row>
    <row r="58" spans="1:6" x14ac:dyDescent="0.25">
      <c r="A58" s="1">
        <v>65</v>
      </c>
      <c r="B58" s="1">
        <v>1</v>
      </c>
      <c r="C58" s="1">
        <v>0</v>
      </c>
      <c r="D58" s="1">
        <v>3477.7</v>
      </c>
      <c r="E58" s="1">
        <v>15</v>
      </c>
      <c r="F58" s="7" t="s">
        <v>8</v>
      </c>
    </row>
    <row r="59" spans="1:6" x14ac:dyDescent="0.25">
      <c r="A59" s="1">
        <v>652</v>
      </c>
      <c r="B59" s="1">
        <v>0</v>
      </c>
      <c r="C59" s="1">
        <v>1</v>
      </c>
      <c r="D59" s="1">
        <v>4.7</v>
      </c>
      <c r="E59" s="1">
        <v>40</v>
      </c>
      <c r="F59" s="7" t="s">
        <v>17</v>
      </c>
    </row>
    <row r="60" spans="1:6" x14ac:dyDescent="0.25">
      <c r="A60" s="1">
        <v>403</v>
      </c>
      <c r="B60" s="1">
        <v>0</v>
      </c>
      <c r="C60" s="1">
        <v>0</v>
      </c>
      <c r="D60" s="1">
        <v>472</v>
      </c>
      <c r="E60" s="1">
        <v>27</v>
      </c>
      <c r="F60" s="7" t="s">
        <v>8</v>
      </c>
    </row>
    <row r="61" spans="1:6" x14ac:dyDescent="0.25">
      <c r="A61" s="1">
        <v>112</v>
      </c>
      <c r="B61" s="1">
        <v>1</v>
      </c>
      <c r="C61" s="1">
        <v>1</v>
      </c>
      <c r="D61" s="1">
        <v>525.6</v>
      </c>
      <c r="E61" s="1">
        <v>20</v>
      </c>
      <c r="F61" s="7" t="s">
        <v>17</v>
      </c>
    </row>
    <row r="62" spans="1:6" x14ac:dyDescent="0.25">
      <c r="A62" s="1">
        <v>609</v>
      </c>
      <c r="B62" s="1">
        <v>0</v>
      </c>
      <c r="C62" s="1">
        <v>0</v>
      </c>
      <c r="D62" s="1">
        <v>397.8</v>
      </c>
      <c r="E62" s="1">
        <v>25</v>
      </c>
      <c r="F62" s="7" t="s">
        <v>8</v>
      </c>
    </row>
    <row r="63" spans="1:6" x14ac:dyDescent="0.25">
      <c r="A63" s="1">
        <v>910</v>
      </c>
      <c r="B63" s="1">
        <v>0</v>
      </c>
      <c r="C63" s="1">
        <v>0</v>
      </c>
      <c r="D63" s="1">
        <v>579</v>
      </c>
      <c r="E63" s="1">
        <v>10</v>
      </c>
      <c r="F63" s="7" t="s">
        <v>17</v>
      </c>
    </row>
    <row r="64" spans="1:6" x14ac:dyDescent="0.25">
      <c r="A64" s="1">
        <v>323</v>
      </c>
      <c r="B64" s="1">
        <v>1</v>
      </c>
      <c r="C64" s="1">
        <v>0</v>
      </c>
      <c r="D64" s="1">
        <v>749</v>
      </c>
      <c r="E64" s="1">
        <v>15</v>
      </c>
      <c r="F64" s="7" t="s">
        <v>8</v>
      </c>
    </row>
    <row r="65" spans="1:6" x14ac:dyDescent="0.25">
      <c r="A65" s="1">
        <v>392</v>
      </c>
      <c r="B65" s="1">
        <v>0</v>
      </c>
      <c r="C65" s="1">
        <v>0</v>
      </c>
      <c r="D65" s="1">
        <v>30.1</v>
      </c>
      <c r="E65" s="1">
        <v>30</v>
      </c>
      <c r="F65" s="7" t="s">
        <v>17</v>
      </c>
    </row>
    <row r="66" spans="1:6" x14ac:dyDescent="0.25">
      <c r="A66" s="1">
        <v>1110</v>
      </c>
      <c r="B66" s="1">
        <v>0</v>
      </c>
      <c r="C66" s="1">
        <v>1</v>
      </c>
      <c r="D66" s="1">
        <v>16</v>
      </c>
      <c r="E66" s="1">
        <v>40</v>
      </c>
      <c r="F66" s="7" t="s">
        <v>8</v>
      </c>
    </row>
    <row r="67" spans="1:6" x14ac:dyDescent="0.25">
      <c r="A67" s="1">
        <v>133</v>
      </c>
      <c r="B67" s="1">
        <v>0</v>
      </c>
      <c r="C67" s="1">
        <v>1</v>
      </c>
      <c r="D67" s="1">
        <v>54.9</v>
      </c>
      <c r="E67" s="1">
        <v>20</v>
      </c>
      <c r="F67" s="7" t="s">
        <v>17</v>
      </c>
    </row>
    <row r="68" spans="1:6" x14ac:dyDescent="0.25">
      <c r="A68" s="1">
        <v>798</v>
      </c>
      <c r="B68" s="1">
        <v>0</v>
      </c>
      <c r="C68" s="1">
        <v>0</v>
      </c>
      <c r="D68" s="1">
        <v>1029.5</v>
      </c>
      <c r="E68" s="1">
        <v>15</v>
      </c>
      <c r="F68" s="7" t="s">
        <v>8</v>
      </c>
    </row>
    <row r="69" spans="1:6" x14ac:dyDescent="0.25">
      <c r="A69" s="1">
        <v>326</v>
      </c>
      <c r="B69" s="1">
        <v>0</v>
      </c>
      <c r="C69" s="1">
        <v>0</v>
      </c>
      <c r="D69" s="1">
        <v>291.10000000000002</v>
      </c>
      <c r="E69" s="1">
        <v>20</v>
      </c>
      <c r="F69" s="7" t="s">
        <v>17</v>
      </c>
    </row>
    <row r="70" spans="1:6" x14ac:dyDescent="0.25">
      <c r="A70" s="1">
        <v>95</v>
      </c>
      <c r="B70" s="1">
        <v>0</v>
      </c>
      <c r="C70" s="1">
        <v>0</v>
      </c>
      <c r="D70" s="1">
        <v>335.7</v>
      </c>
      <c r="E70" s="1">
        <v>25</v>
      </c>
      <c r="F70" s="7" t="s">
        <v>8</v>
      </c>
    </row>
    <row r="71" spans="1:6" x14ac:dyDescent="0.25">
      <c r="A71" s="1">
        <v>69</v>
      </c>
      <c r="B71" s="1">
        <v>1</v>
      </c>
      <c r="C71" s="1">
        <v>0</v>
      </c>
      <c r="D71" s="1">
        <v>1870</v>
      </c>
      <c r="E71" s="1">
        <v>24</v>
      </c>
      <c r="F71" s="7" t="s">
        <v>17</v>
      </c>
    </row>
    <row r="72" spans="1:6" x14ac:dyDescent="0.25">
      <c r="A72" s="1">
        <v>121</v>
      </c>
      <c r="B72" s="1">
        <v>1</v>
      </c>
      <c r="C72" s="1">
        <v>0</v>
      </c>
      <c r="D72" s="1">
        <v>44</v>
      </c>
      <c r="E72" s="1">
        <v>15</v>
      </c>
      <c r="F72" s="7" t="s">
        <v>8</v>
      </c>
    </row>
    <row r="73" spans="1:6" x14ac:dyDescent="0.25">
      <c r="A73" s="1">
        <v>298</v>
      </c>
      <c r="B73" s="1">
        <v>1</v>
      </c>
      <c r="C73" s="1">
        <v>0</v>
      </c>
      <c r="D73" s="1">
        <v>437.8</v>
      </c>
      <c r="E73" s="1">
        <v>15</v>
      </c>
      <c r="F73" s="7" t="s">
        <v>17</v>
      </c>
    </row>
    <row r="74" spans="1:6" x14ac:dyDescent="0.25">
      <c r="A74" s="1">
        <v>396</v>
      </c>
      <c r="B74" s="1">
        <v>0</v>
      </c>
      <c r="C74" s="1">
        <v>0</v>
      </c>
      <c r="D74" s="1">
        <v>52.3</v>
      </c>
      <c r="E74" s="1">
        <v>25</v>
      </c>
      <c r="F74" s="7" t="s">
        <v>8</v>
      </c>
    </row>
    <row r="75" spans="1:6" x14ac:dyDescent="0.25">
      <c r="A75" s="1">
        <v>1030</v>
      </c>
      <c r="B75" s="1">
        <v>0</v>
      </c>
      <c r="C75" s="1">
        <v>1</v>
      </c>
      <c r="D75" s="1">
        <v>389</v>
      </c>
      <c r="E75" s="1">
        <v>20</v>
      </c>
      <c r="F75" s="7" t="s">
        <v>17</v>
      </c>
    </row>
    <row r="76" spans="1:6" x14ac:dyDescent="0.25">
      <c r="A76" s="1">
        <v>70</v>
      </c>
      <c r="B76" s="1">
        <v>0</v>
      </c>
      <c r="C76" s="1">
        <v>0</v>
      </c>
      <c r="D76" s="1">
        <v>339.1</v>
      </c>
      <c r="E76" s="1">
        <v>25</v>
      </c>
      <c r="F76" s="7" t="s">
        <v>8</v>
      </c>
    </row>
    <row r="77" spans="1:6" x14ac:dyDescent="0.25">
      <c r="A77" s="1">
        <v>1028</v>
      </c>
      <c r="B77" s="1">
        <v>1</v>
      </c>
      <c r="C77" s="1">
        <v>0</v>
      </c>
      <c r="D77" s="1">
        <v>245</v>
      </c>
      <c r="E77" s="1">
        <v>15</v>
      </c>
      <c r="F77" s="7" t="s">
        <v>17</v>
      </c>
    </row>
    <row r="78" spans="1:6" x14ac:dyDescent="0.25">
      <c r="A78" s="1">
        <v>465</v>
      </c>
      <c r="B78" s="1">
        <v>0</v>
      </c>
      <c r="C78" s="1">
        <v>0</v>
      </c>
      <c r="D78" s="1">
        <v>538</v>
      </c>
      <c r="E78" s="1">
        <v>20</v>
      </c>
      <c r="F78" s="7" t="s">
        <v>8</v>
      </c>
    </row>
    <row r="79" spans="1:6" x14ac:dyDescent="0.25">
      <c r="A79" s="1">
        <v>719</v>
      </c>
      <c r="B79" s="1">
        <v>0</v>
      </c>
      <c r="C79" s="1">
        <v>1</v>
      </c>
      <c r="D79" s="1">
        <v>77.400000000000006</v>
      </c>
      <c r="E79" s="1">
        <v>10</v>
      </c>
      <c r="F79" s="7" t="s">
        <v>17</v>
      </c>
    </row>
    <row r="80" spans="1:6" x14ac:dyDescent="0.25">
      <c r="A80" s="1">
        <v>46</v>
      </c>
      <c r="B80" s="1">
        <v>1</v>
      </c>
      <c r="C80" s="1">
        <v>1</v>
      </c>
      <c r="D80" s="1">
        <v>408.4</v>
      </c>
      <c r="E80" s="1">
        <v>25</v>
      </c>
      <c r="F80" s="7" t="s">
        <v>8</v>
      </c>
    </row>
    <row r="81" spans="1:6" x14ac:dyDescent="0.25">
      <c r="A81" s="1">
        <v>480</v>
      </c>
      <c r="B81" s="1">
        <v>0</v>
      </c>
      <c r="C81" s="1">
        <v>1</v>
      </c>
      <c r="D81" s="1">
        <v>402.7</v>
      </c>
      <c r="E81" s="1">
        <v>25</v>
      </c>
      <c r="F81" s="7" t="s">
        <v>17</v>
      </c>
    </row>
    <row r="82" spans="1:6" x14ac:dyDescent="0.25">
      <c r="A82" s="1">
        <v>1068</v>
      </c>
      <c r="B82" s="1">
        <v>0</v>
      </c>
      <c r="C82" s="1">
        <v>0</v>
      </c>
      <c r="D82" s="1">
        <v>24</v>
      </c>
      <c r="E82" s="1">
        <v>30</v>
      </c>
      <c r="F82" s="7" t="s">
        <v>8</v>
      </c>
    </row>
    <row r="83" spans="1:6" x14ac:dyDescent="0.25">
      <c r="A83" s="1">
        <v>168</v>
      </c>
      <c r="B83" s="1">
        <v>0</v>
      </c>
      <c r="C83" s="1">
        <v>0</v>
      </c>
      <c r="D83" s="1">
        <v>29</v>
      </c>
      <c r="E83" s="1">
        <v>25</v>
      </c>
      <c r="F83" s="7" t="s">
        <v>17</v>
      </c>
    </row>
    <row r="84" spans="1:6" x14ac:dyDescent="0.25">
      <c r="A84" s="1">
        <v>93</v>
      </c>
      <c r="B84" s="1">
        <v>0</v>
      </c>
      <c r="C84" s="1">
        <v>0</v>
      </c>
      <c r="D84" s="1">
        <v>243.4</v>
      </c>
      <c r="E84" s="1">
        <v>41</v>
      </c>
      <c r="F84" s="7" t="s">
        <v>8</v>
      </c>
    </row>
    <row r="85" spans="1:6" x14ac:dyDescent="0.25">
      <c r="A85" s="1">
        <v>351</v>
      </c>
      <c r="B85" s="1">
        <v>0</v>
      </c>
      <c r="C85" s="1">
        <v>1</v>
      </c>
      <c r="D85" s="1">
        <v>287.10000000000002</v>
      </c>
      <c r="E85" s="1">
        <v>50</v>
      </c>
      <c r="F85" s="7" t="s">
        <v>17</v>
      </c>
    </row>
    <row r="86" spans="1:6" x14ac:dyDescent="0.25">
      <c r="A86" s="1">
        <v>750</v>
      </c>
      <c r="B86" s="1">
        <v>0</v>
      </c>
      <c r="C86" s="1">
        <v>1</v>
      </c>
      <c r="D86" s="1">
        <v>2604.4</v>
      </c>
      <c r="E86" s="1">
        <v>10</v>
      </c>
      <c r="F86" s="7" t="s">
        <v>8</v>
      </c>
    </row>
    <row r="87" spans="1:6" x14ac:dyDescent="0.25">
      <c r="A87" s="1">
        <v>1016</v>
      </c>
      <c r="B87" s="1">
        <v>0</v>
      </c>
      <c r="C87" s="1">
        <v>0</v>
      </c>
      <c r="D87" s="1">
        <v>568</v>
      </c>
      <c r="E87" s="1">
        <v>20</v>
      </c>
      <c r="F87" s="7" t="s">
        <v>17</v>
      </c>
    </row>
    <row r="88" spans="1:6" x14ac:dyDescent="0.25">
      <c r="A88" s="1">
        <v>532</v>
      </c>
      <c r="B88" s="1">
        <v>0</v>
      </c>
      <c r="C88" s="1">
        <v>0</v>
      </c>
      <c r="D88" s="1">
        <v>63.4</v>
      </c>
      <c r="E88" s="1">
        <v>20</v>
      </c>
      <c r="F88" s="7" t="s">
        <v>8</v>
      </c>
    </row>
    <row r="89" spans="1:6" x14ac:dyDescent="0.25">
      <c r="A89" s="1">
        <v>791</v>
      </c>
      <c r="B89" s="1">
        <v>0</v>
      </c>
      <c r="C89" s="1">
        <v>1</v>
      </c>
      <c r="D89" s="1">
        <v>159.19999999999999</v>
      </c>
      <c r="E89" s="1">
        <v>20</v>
      </c>
      <c r="F89" s="7" t="s">
        <v>17</v>
      </c>
    </row>
    <row r="90" spans="1:6" x14ac:dyDescent="0.25">
      <c r="A90" s="1">
        <v>133</v>
      </c>
      <c r="B90" s="1">
        <v>1</v>
      </c>
      <c r="C90" s="1">
        <v>1</v>
      </c>
      <c r="D90" s="1">
        <v>1215.2</v>
      </c>
      <c r="E90" s="1">
        <v>10</v>
      </c>
      <c r="F90" s="7" t="s">
        <v>8</v>
      </c>
    </row>
    <row r="91" spans="1:6" x14ac:dyDescent="0.25">
      <c r="A91" s="1">
        <v>238</v>
      </c>
      <c r="B91" s="1">
        <v>0</v>
      </c>
      <c r="C91" s="1">
        <v>1</v>
      </c>
      <c r="D91" s="1">
        <v>273.39999999999998</v>
      </c>
      <c r="E91" s="1">
        <v>10</v>
      </c>
      <c r="F91" s="7" t="s">
        <v>17</v>
      </c>
    </row>
    <row r="92" spans="1:6" x14ac:dyDescent="0.25">
      <c r="A92" s="1">
        <v>75</v>
      </c>
      <c r="B92" s="1">
        <v>0</v>
      </c>
      <c r="C92" s="1">
        <v>0</v>
      </c>
      <c r="D92" s="1">
        <v>1255.3</v>
      </c>
      <c r="E92" s="1">
        <v>20</v>
      </c>
      <c r="F92" s="7" t="s">
        <v>8</v>
      </c>
    </row>
    <row r="93" spans="1:6" x14ac:dyDescent="0.25">
      <c r="A93" s="1">
        <v>375</v>
      </c>
      <c r="B93" s="1">
        <v>0</v>
      </c>
      <c r="C93" s="1">
        <v>0</v>
      </c>
      <c r="D93" s="1">
        <v>325.2</v>
      </c>
      <c r="E93" s="1">
        <v>25</v>
      </c>
      <c r="F93" s="7" t="s">
        <v>17</v>
      </c>
    </row>
    <row r="94" spans="1:6" x14ac:dyDescent="0.25">
      <c r="A94" s="1">
        <v>921</v>
      </c>
      <c r="B94" s="1">
        <v>0</v>
      </c>
      <c r="C94" s="1">
        <v>0</v>
      </c>
      <c r="D94" s="1">
        <v>259</v>
      </c>
      <c r="E94" s="1">
        <v>26</v>
      </c>
      <c r="F94" s="7" t="s">
        <v>8</v>
      </c>
    </row>
    <row r="95" spans="1:6" x14ac:dyDescent="0.25">
      <c r="A95" s="1">
        <v>456</v>
      </c>
      <c r="B95" s="1">
        <v>0</v>
      </c>
      <c r="C95" s="1">
        <v>1</v>
      </c>
      <c r="D95" s="1">
        <v>25.6</v>
      </c>
      <c r="E95" s="1">
        <v>50</v>
      </c>
      <c r="F95" s="7" t="s">
        <v>17</v>
      </c>
    </row>
    <row r="96" spans="1:6" x14ac:dyDescent="0.25">
      <c r="A96" s="1">
        <v>119</v>
      </c>
      <c r="B96" s="1">
        <v>1</v>
      </c>
      <c r="C96" s="1">
        <v>0</v>
      </c>
      <c r="D96" s="1">
        <v>1614.5</v>
      </c>
      <c r="E96" s="1">
        <v>15</v>
      </c>
      <c r="F96" s="7" t="s">
        <v>8</v>
      </c>
    </row>
    <row r="97" spans="1:6" x14ac:dyDescent="0.25">
      <c r="A97" s="1">
        <v>889</v>
      </c>
      <c r="B97" s="1">
        <v>0</v>
      </c>
      <c r="C97" s="1">
        <v>1</v>
      </c>
      <c r="D97" s="1">
        <v>120</v>
      </c>
      <c r="E97" s="1">
        <v>20</v>
      </c>
      <c r="F97" s="7" t="s">
        <v>17</v>
      </c>
    </row>
    <row r="98" spans="1:6" x14ac:dyDescent="0.25">
      <c r="A98" s="1">
        <v>318</v>
      </c>
      <c r="B98" s="1">
        <v>0</v>
      </c>
      <c r="C98" s="1">
        <v>1</v>
      </c>
      <c r="D98" s="1">
        <v>115.8</v>
      </c>
      <c r="E98" s="1">
        <v>50</v>
      </c>
      <c r="F98" s="7" t="s">
        <v>8</v>
      </c>
    </row>
    <row r="99" spans="1:6" x14ac:dyDescent="0.25">
      <c r="A99" s="1">
        <v>882</v>
      </c>
      <c r="B99" s="1">
        <v>0</v>
      </c>
      <c r="C99" s="1">
        <v>1</v>
      </c>
      <c r="D99" s="1">
        <v>27.5</v>
      </c>
      <c r="E99" s="1">
        <v>25</v>
      </c>
      <c r="F99" s="7" t="s">
        <v>17</v>
      </c>
    </row>
    <row r="100" spans="1:6" x14ac:dyDescent="0.25">
      <c r="A100" s="1">
        <v>277</v>
      </c>
      <c r="B100" s="1">
        <v>0</v>
      </c>
      <c r="C100" s="1">
        <v>1</v>
      </c>
      <c r="D100" s="1">
        <v>194</v>
      </c>
      <c r="E100" s="1">
        <v>22</v>
      </c>
      <c r="F100" s="7" t="s">
        <v>8</v>
      </c>
    </row>
    <row r="101" spans="1:6" x14ac:dyDescent="0.25">
      <c r="A101" s="1">
        <v>322</v>
      </c>
      <c r="B101" s="1">
        <v>0</v>
      </c>
      <c r="C101" s="1">
        <v>0</v>
      </c>
      <c r="D101" s="1">
        <v>1340.7</v>
      </c>
      <c r="E101" s="1">
        <v>35</v>
      </c>
      <c r="F101" s="7" t="s">
        <v>17</v>
      </c>
    </row>
    <row r="102" spans="1:6" x14ac:dyDescent="0.25">
      <c r="A102" s="1">
        <v>144</v>
      </c>
      <c r="B102" s="1">
        <v>0</v>
      </c>
      <c r="C102" s="1">
        <v>0</v>
      </c>
      <c r="D102" s="1">
        <v>26.3</v>
      </c>
      <c r="E102" s="1">
        <v>35</v>
      </c>
      <c r="F102" s="7" t="s">
        <v>8</v>
      </c>
    </row>
    <row r="103" spans="1:6" x14ac:dyDescent="0.25">
      <c r="A103" s="1">
        <v>1036</v>
      </c>
      <c r="B103" s="1">
        <v>0</v>
      </c>
      <c r="C103" s="1">
        <v>1</v>
      </c>
      <c r="D103" s="1">
        <v>206</v>
      </c>
      <c r="E103" s="1">
        <v>20</v>
      </c>
      <c r="F103" s="7" t="s">
        <v>17</v>
      </c>
    </row>
    <row r="104" spans="1:6" x14ac:dyDescent="0.25">
      <c r="A104" s="1">
        <v>238</v>
      </c>
      <c r="B104" s="1">
        <v>0</v>
      </c>
      <c r="C104" s="1">
        <v>0</v>
      </c>
      <c r="D104" s="1">
        <v>18</v>
      </c>
      <c r="E104" s="1">
        <v>30</v>
      </c>
      <c r="F104" s="7" t="s">
        <v>8</v>
      </c>
    </row>
    <row r="105" spans="1:6" x14ac:dyDescent="0.25">
      <c r="A105" s="1">
        <v>399</v>
      </c>
      <c r="B105" s="1">
        <v>0</v>
      </c>
      <c r="C105" s="1">
        <v>0</v>
      </c>
      <c r="D105" s="1">
        <v>312.2</v>
      </c>
      <c r="E105" s="1">
        <v>20</v>
      </c>
      <c r="F105" s="7" t="s">
        <v>17</v>
      </c>
    </row>
    <row r="106" spans="1:6" x14ac:dyDescent="0.25">
      <c r="A106" s="1">
        <v>81</v>
      </c>
      <c r="B106" s="1">
        <v>0</v>
      </c>
      <c r="C106" s="1">
        <v>1</v>
      </c>
      <c r="D106" s="1">
        <v>99.3</v>
      </c>
      <c r="E106" s="1">
        <v>55</v>
      </c>
      <c r="F106" s="7" t="s">
        <v>8</v>
      </c>
    </row>
    <row r="107" spans="1:6" x14ac:dyDescent="0.25">
      <c r="A107" s="1">
        <v>581</v>
      </c>
      <c r="B107" s="1">
        <v>0</v>
      </c>
      <c r="C107" s="1">
        <v>0</v>
      </c>
      <c r="D107" s="1">
        <v>1720.5</v>
      </c>
      <c r="E107" s="1">
        <v>47</v>
      </c>
      <c r="F107" s="7" t="s">
        <v>17</v>
      </c>
    </row>
    <row r="108" spans="1:6" x14ac:dyDescent="0.25">
      <c r="A108" s="1">
        <v>896</v>
      </c>
      <c r="B108" s="1">
        <v>0</v>
      </c>
      <c r="C108" s="1">
        <v>0</v>
      </c>
      <c r="D108" s="1">
        <v>12</v>
      </c>
      <c r="E108" s="1">
        <v>35</v>
      </c>
      <c r="F108" s="7" t="s">
        <v>8</v>
      </c>
    </row>
    <row r="109" spans="1:6" x14ac:dyDescent="0.25">
      <c r="A109" s="1">
        <v>224</v>
      </c>
      <c r="B109" s="1">
        <v>0</v>
      </c>
      <c r="C109" s="1">
        <v>0</v>
      </c>
      <c r="D109" s="1">
        <v>1029</v>
      </c>
      <c r="E109" s="1">
        <v>15</v>
      </c>
      <c r="F109" s="7" t="s">
        <v>17</v>
      </c>
    </row>
    <row r="110" spans="1:6" x14ac:dyDescent="0.25">
      <c r="A110" s="1">
        <v>750</v>
      </c>
      <c r="B110" s="1">
        <v>0</v>
      </c>
      <c r="C110" s="1">
        <v>0</v>
      </c>
      <c r="D110" s="1">
        <v>9.6999999999999993</v>
      </c>
      <c r="E110" s="1">
        <v>10</v>
      </c>
      <c r="F110" s="7" t="s">
        <v>8</v>
      </c>
    </row>
    <row r="111" spans="1:6" x14ac:dyDescent="0.25">
      <c r="A111" s="1">
        <v>347</v>
      </c>
      <c r="B111" s="1">
        <v>0</v>
      </c>
      <c r="C111" s="1">
        <v>0</v>
      </c>
      <c r="D111" s="1">
        <v>49.9</v>
      </c>
      <c r="E111" s="1">
        <v>40</v>
      </c>
      <c r="F111" s="7" t="s">
        <v>17</v>
      </c>
    </row>
    <row r="112" spans="1:6" x14ac:dyDescent="0.25">
      <c r="A112" s="1">
        <v>1159</v>
      </c>
      <c r="B112" s="1">
        <v>0</v>
      </c>
      <c r="C112" s="1">
        <v>0</v>
      </c>
      <c r="D112" s="1">
        <v>127</v>
      </c>
      <c r="E112" s="1">
        <v>30</v>
      </c>
      <c r="F112" s="7" t="s">
        <v>8</v>
      </c>
    </row>
    <row r="113" spans="1:6" x14ac:dyDescent="0.25">
      <c r="A113" s="1">
        <v>196</v>
      </c>
      <c r="B113" s="1">
        <v>0</v>
      </c>
      <c r="C113" s="1">
        <v>1</v>
      </c>
      <c r="D113" s="1">
        <v>154.1</v>
      </c>
      <c r="E113" s="1">
        <v>16</v>
      </c>
      <c r="F113" s="7" t="s">
        <v>17</v>
      </c>
    </row>
    <row r="114" spans="1:6" x14ac:dyDescent="0.25">
      <c r="A114" s="1">
        <v>1072</v>
      </c>
      <c r="B114" s="1">
        <v>0</v>
      </c>
      <c r="C114" s="1">
        <v>1</v>
      </c>
      <c r="D114" s="1">
        <v>26.1</v>
      </c>
      <c r="E114" s="1">
        <v>20</v>
      </c>
      <c r="F114" s="7" t="s">
        <v>8</v>
      </c>
    </row>
    <row r="115" spans="1:6" x14ac:dyDescent="0.25">
      <c r="A115" s="1">
        <v>237</v>
      </c>
      <c r="B115" s="1">
        <v>1</v>
      </c>
      <c r="C115" s="1">
        <v>0</v>
      </c>
      <c r="D115" s="1">
        <v>1020</v>
      </c>
      <c r="E115" s="1">
        <v>10</v>
      </c>
      <c r="F115" s="7" t="s">
        <v>17</v>
      </c>
    </row>
    <row r="116" spans="1:6" x14ac:dyDescent="0.25">
      <c r="A116" s="1">
        <v>121</v>
      </c>
      <c r="B116" s="1">
        <v>0</v>
      </c>
      <c r="C116" s="1">
        <v>1</v>
      </c>
      <c r="D116" s="1">
        <v>514.20000000000005</v>
      </c>
      <c r="E116" s="1">
        <v>40</v>
      </c>
      <c r="F116" s="7" t="s">
        <v>8</v>
      </c>
    </row>
    <row r="117" spans="1:6" x14ac:dyDescent="0.25">
      <c r="A117" s="1">
        <v>1123</v>
      </c>
      <c r="B117" s="1">
        <v>0</v>
      </c>
      <c r="C117" s="1">
        <v>0</v>
      </c>
      <c r="D117" s="1">
        <v>81</v>
      </c>
      <c r="E117" s="1">
        <v>25</v>
      </c>
      <c r="F117" s="7" t="s">
        <v>17</v>
      </c>
    </row>
    <row r="118" spans="1:6" x14ac:dyDescent="0.25">
      <c r="A118" s="1">
        <v>1075</v>
      </c>
      <c r="B118" s="1">
        <v>0</v>
      </c>
      <c r="C118" s="1">
        <v>0</v>
      </c>
      <c r="D118" s="1">
        <v>217.5</v>
      </c>
      <c r="E118" s="1">
        <v>50</v>
      </c>
      <c r="F118" s="7" t="s">
        <v>8</v>
      </c>
    </row>
    <row r="119" spans="1:6" x14ac:dyDescent="0.25">
      <c r="A119" s="1">
        <v>1081</v>
      </c>
      <c r="B119" s="1">
        <v>0</v>
      </c>
      <c r="C119" s="1">
        <v>1</v>
      </c>
      <c r="D119" s="1">
        <v>986.9</v>
      </c>
      <c r="E119" s="1">
        <v>25</v>
      </c>
      <c r="F119" s="7" t="s">
        <v>17</v>
      </c>
    </row>
    <row r="120" spans="1:6" x14ac:dyDescent="0.25">
      <c r="A120" s="1">
        <v>1006</v>
      </c>
      <c r="B120" s="1">
        <v>0</v>
      </c>
      <c r="C120" s="1">
        <v>1</v>
      </c>
      <c r="D120" s="1">
        <v>385</v>
      </c>
      <c r="E120" s="1">
        <v>26</v>
      </c>
      <c r="F120" s="7" t="s">
        <v>8</v>
      </c>
    </row>
    <row r="121" spans="1:6" x14ac:dyDescent="0.25">
      <c r="A121" s="1">
        <v>139</v>
      </c>
      <c r="B121" s="1">
        <v>0</v>
      </c>
      <c r="C121" s="1">
        <v>0</v>
      </c>
      <c r="D121" s="1">
        <v>125.5</v>
      </c>
      <c r="E121" s="1">
        <v>15</v>
      </c>
      <c r="F121" s="7" t="s">
        <v>17</v>
      </c>
    </row>
    <row r="122" spans="1:6" x14ac:dyDescent="0.25">
      <c r="A122" s="1">
        <v>907</v>
      </c>
      <c r="B122" s="1">
        <v>0</v>
      </c>
      <c r="C122" s="1">
        <v>1</v>
      </c>
      <c r="D122" s="1">
        <v>798</v>
      </c>
      <c r="E122" s="1">
        <v>15</v>
      </c>
      <c r="F122" s="7" t="s">
        <v>8</v>
      </c>
    </row>
    <row r="123" spans="1:6" x14ac:dyDescent="0.25">
      <c r="A123" s="1">
        <v>70</v>
      </c>
      <c r="B123" s="1">
        <v>0</v>
      </c>
      <c r="C123" s="1">
        <v>0</v>
      </c>
      <c r="D123" s="1">
        <v>433.1</v>
      </c>
      <c r="E123" s="1">
        <v>20</v>
      </c>
      <c r="F123" s="7" t="s">
        <v>17</v>
      </c>
    </row>
    <row r="124" spans="1:6" x14ac:dyDescent="0.25">
      <c r="A124" s="1">
        <v>644</v>
      </c>
      <c r="B124" s="1">
        <v>0</v>
      </c>
      <c r="C124" s="1">
        <v>1</v>
      </c>
      <c r="D124" s="1">
        <v>3311.8</v>
      </c>
      <c r="E124" s="1">
        <v>25</v>
      </c>
      <c r="F124" s="7" t="s">
        <v>8</v>
      </c>
    </row>
    <row r="125" spans="1:6" x14ac:dyDescent="0.25">
      <c r="A125" s="1">
        <v>135</v>
      </c>
      <c r="B125" s="1">
        <v>0</v>
      </c>
      <c r="C125" s="1">
        <v>0</v>
      </c>
      <c r="D125" s="1">
        <v>412.6</v>
      </c>
      <c r="E125" s="1">
        <v>55</v>
      </c>
      <c r="F125" s="7" t="s">
        <v>17</v>
      </c>
    </row>
    <row r="126" spans="1:6" x14ac:dyDescent="0.25">
      <c r="A126" s="1">
        <v>872</v>
      </c>
      <c r="B126" s="1">
        <v>0</v>
      </c>
      <c r="C126" s="1">
        <v>1</v>
      </c>
      <c r="D126" s="1">
        <v>147</v>
      </c>
      <c r="E126" s="1">
        <v>20</v>
      </c>
      <c r="F126" s="7" t="s">
        <v>8</v>
      </c>
    </row>
    <row r="127" spans="1:6" x14ac:dyDescent="0.25">
      <c r="A127" s="1">
        <v>196</v>
      </c>
      <c r="B127" s="1">
        <v>0</v>
      </c>
      <c r="C127" s="1">
        <v>0</v>
      </c>
      <c r="D127" s="1">
        <v>1100.4000000000001</v>
      </c>
      <c r="E127" s="1">
        <v>27</v>
      </c>
      <c r="F127" s="7" t="s">
        <v>17</v>
      </c>
    </row>
    <row r="128" spans="1:6" x14ac:dyDescent="0.25">
      <c r="A128" s="1">
        <v>1082</v>
      </c>
      <c r="B128" s="1">
        <v>0</v>
      </c>
      <c r="C128" s="1">
        <v>1</v>
      </c>
      <c r="D128" s="1">
        <v>805</v>
      </c>
      <c r="E128" s="1">
        <v>25</v>
      </c>
      <c r="F128" s="7" t="s">
        <v>8</v>
      </c>
    </row>
    <row r="129" spans="1:6" x14ac:dyDescent="0.25">
      <c r="A129" s="1">
        <v>1117</v>
      </c>
      <c r="B129" s="1">
        <v>0</v>
      </c>
      <c r="C129" s="1">
        <v>1</v>
      </c>
      <c r="D129" s="1">
        <v>36</v>
      </c>
      <c r="E129" s="1">
        <v>20</v>
      </c>
      <c r="F129" s="7" t="s">
        <v>17</v>
      </c>
    </row>
    <row r="130" spans="1:6" x14ac:dyDescent="0.25">
      <c r="A130" s="1">
        <v>616</v>
      </c>
      <c r="B130" s="1">
        <v>0</v>
      </c>
      <c r="C130" s="1">
        <v>1</v>
      </c>
      <c r="D130" s="1">
        <v>225</v>
      </c>
      <c r="E130" s="1">
        <v>35</v>
      </c>
      <c r="F130" s="7" t="s">
        <v>8</v>
      </c>
    </row>
    <row r="131" spans="1:6" x14ac:dyDescent="0.25">
      <c r="A131" s="1">
        <v>397</v>
      </c>
      <c r="B131" s="1">
        <v>1</v>
      </c>
      <c r="C131" s="1">
        <v>1</v>
      </c>
      <c r="D131" s="1">
        <v>99.7</v>
      </c>
      <c r="E131" s="1">
        <v>15</v>
      </c>
      <c r="F131" s="7" t="s">
        <v>17</v>
      </c>
    </row>
    <row r="132" spans="1:6" x14ac:dyDescent="0.25">
      <c r="A132" s="1">
        <v>578</v>
      </c>
      <c r="B132" s="1">
        <v>0</v>
      </c>
      <c r="C132" s="1">
        <v>1</v>
      </c>
      <c r="D132" s="1">
        <v>231.4</v>
      </c>
      <c r="E132" s="1">
        <v>15</v>
      </c>
      <c r="F132" s="7" t="s">
        <v>8</v>
      </c>
    </row>
    <row r="133" spans="1:6" x14ac:dyDescent="0.25">
      <c r="A133" s="1">
        <v>129</v>
      </c>
      <c r="B133" s="1">
        <v>1</v>
      </c>
      <c r="C133" s="1">
        <v>0</v>
      </c>
      <c r="D133" s="1">
        <v>268</v>
      </c>
      <c r="E133" s="1">
        <v>45</v>
      </c>
      <c r="F133" s="7" t="s">
        <v>17</v>
      </c>
    </row>
    <row r="134" spans="1:6" x14ac:dyDescent="0.25">
      <c r="A134" s="1">
        <v>676</v>
      </c>
      <c r="B134" s="1">
        <v>0</v>
      </c>
      <c r="C134" s="1">
        <v>0</v>
      </c>
      <c r="D134" s="1">
        <v>336</v>
      </c>
      <c r="E134" s="1">
        <v>33</v>
      </c>
      <c r="F134" s="7" t="s">
        <v>8</v>
      </c>
    </row>
    <row r="135" spans="1:6" x14ac:dyDescent="0.25">
      <c r="A135" s="1">
        <v>321</v>
      </c>
      <c r="B135" s="1">
        <v>0</v>
      </c>
      <c r="C135" s="1">
        <v>0</v>
      </c>
      <c r="D135" s="1">
        <v>60.4</v>
      </c>
      <c r="E135" s="1">
        <v>35</v>
      </c>
      <c r="F135" s="7" t="s">
        <v>17</v>
      </c>
    </row>
    <row r="136" spans="1:6" x14ac:dyDescent="0.25">
      <c r="A136" s="1">
        <v>319</v>
      </c>
      <c r="B136" s="1">
        <v>0</v>
      </c>
      <c r="C136" s="1">
        <v>0</v>
      </c>
      <c r="D136" s="1">
        <v>556</v>
      </c>
      <c r="E136" s="1">
        <v>20</v>
      </c>
      <c r="F136" s="7" t="s">
        <v>8</v>
      </c>
    </row>
    <row r="137" spans="1:6" x14ac:dyDescent="0.25">
      <c r="A137" s="1">
        <v>27</v>
      </c>
      <c r="B137" s="1">
        <v>1</v>
      </c>
      <c r="C137" s="1">
        <v>0</v>
      </c>
      <c r="D137" s="1">
        <v>1813</v>
      </c>
      <c r="E137" s="1">
        <v>10</v>
      </c>
      <c r="F137" s="7" t="s">
        <v>17</v>
      </c>
    </row>
    <row r="138" spans="1:6" x14ac:dyDescent="0.25">
      <c r="A138" s="1">
        <v>137</v>
      </c>
      <c r="B138" s="1">
        <v>1</v>
      </c>
      <c r="C138" s="1">
        <v>0</v>
      </c>
      <c r="D138" s="1">
        <v>897</v>
      </c>
      <c r="E138" s="1">
        <v>10</v>
      </c>
      <c r="F138" s="7" t="s">
        <v>8</v>
      </c>
    </row>
    <row r="139" spans="1:6" x14ac:dyDescent="0.25">
      <c r="A139" s="1">
        <v>118</v>
      </c>
      <c r="B139" s="1">
        <v>1</v>
      </c>
      <c r="C139" s="1">
        <v>0</v>
      </c>
      <c r="D139" s="1">
        <v>2117.8000000000002</v>
      </c>
      <c r="E139" s="1">
        <v>20</v>
      </c>
      <c r="F139" s="7" t="s">
        <v>17</v>
      </c>
    </row>
    <row r="140" spans="1:6" x14ac:dyDescent="0.25">
      <c r="A140" s="1">
        <v>428</v>
      </c>
      <c r="B140" s="1">
        <v>1</v>
      </c>
      <c r="C140" s="1">
        <v>0</v>
      </c>
      <c r="D140" s="1">
        <v>1352.8</v>
      </c>
      <c r="E140" s="1">
        <v>15</v>
      </c>
      <c r="F140" s="7" t="s">
        <v>8</v>
      </c>
    </row>
    <row r="141" spans="1:6" x14ac:dyDescent="0.25">
      <c r="A141" s="1">
        <v>567</v>
      </c>
      <c r="B141" s="1">
        <v>0</v>
      </c>
      <c r="C141" s="1">
        <v>1</v>
      </c>
      <c r="D141" s="1">
        <v>708.5</v>
      </c>
      <c r="E141" s="1">
        <v>10</v>
      </c>
      <c r="F141" s="7" t="s">
        <v>17</v>
      </c>
    </row>
    <row r="142" spans="1:6" x14ac:dyDescent="0.25">
      <c r="A142" s="1">
        <v>293</v>
      </c>
      <c r="B142" s="1">
        <v>0</v>
      </c>
      <c r="C142" s="1">
        <v>0</v>
      </c>
      <c r="D142" s="1">
        <v>4000</v>
      </c>
      <c r="E142" s="1">
        <v>20</v>
      </c>
      <c r="F142" s="7" t="s">
        <v>8</v>
      </c>
    </row>
    <row r="143" spans="1:6" x14ac:dyDescent="0.25">
      <c r="A143" s="1">
        <v>1012</v>
      </c>
      <c r="B143" s="1">
        <v>0</v>
      </c>
      <c r="C143" s="1">
        <v>1</v>
      </c>
      <c r="D143" s="1">
        <v>13.2</v>
      </c>
      <c r="E143" s="1">
        <v>15</v>
      </c>
      <c r="F143" s="7" t="s">
        <v>17</v>
      </c>
    </row>
    <row r="144" spans="1:6" x14ac:dyDescent="0.25">
      <c r="A144" s="1">
        <v>217</v>
      </c>
      <c r="B144" s="1">
        <v>0</v>
      </c>
      <c r="C144" s="1">
        <v>0</v>
      </c>
      <c r="D144" s="1">
        <v>139.6</v>
      </c>
      <c r="E144" s="1">
        <v>26</v>
      </c>
      <c r="F144" s="7" t="s">
        <v>8</v>
      </c>
    </row>
    <row r="145" spans="1:6" x14ac:dyDescent="0.25">
      <c r="A145" s="1">
        <v>121</v>
      </c>
      <c r="B145" s="1">
        <v>1</v>
      </c>
      <c r="C145" s="1">
        <v>0</v>
      </c>
      <c r="D145" s="1">
        <v>298.60000000000002</v>
      </c>
      <c r="E145" s="1">
        <v>40</v>
      </c>
      <c r="F145" s="7" t="s">
        <v>17</v>
      </c>
    </row>
    <row r="146" spans="1:6" x14ac:dyDescent="0.25">
      <c r="A146" s="1">
        <v>966</v>
      </c>
      <c r="B146" s="1">
        <v>0</v>
      </c>
      <c r="C146" s="1">
        <v>1</v>
      </c>
      <c r="D146" s="1">
        <v>96</v>
      </c>
      <c r="E146" s="1">
        <v>15</v>
      </c>
      <c r="F146" s="7" t="s">
        <v>8</v>
      </c>
    </row>
    <row r="147" spans="1:6" x14ac:dyDescent="0.25">
      <c r="A147" s="1">
        <v>375</v>
      </c>
      <c r="B147" s="1">
        <v>0</v>
      </c>
      <c r="C147" s="1">
        <v>0</v>
      </c>
      <c r="D147" s="1">
        <v>82.9</v>
      </c>
      <c r="E147" s="1">
        <v>30</v>
      </c>
      <c r="F147" s="7" t="s">
        <v>17</v>
      </c>
    </row>
    <row r="148" spans="1:6" x14ac:dyDescent="0.25">
      <c r="A148" s="1">
        <v>347</v>
      </c>
      <c r="B148" s="1">
        <v>0</v>
      </c>
      <c r="C148" s="1">
        <v>0</v>
      </c>
      <c r="D148" s="1">
        <v>24.8</v>
      </c>
      <c r="E148" s="1">
        <v>41</v>
      </c>
      <c r="F148" s="7" t="s">
        <v>8</v>
      </c>
    </row>
    <row r="149" spans="1:6" x14ac:dyDescent="0.25">
      <c r="A149" s="1">
        <v>445</v>
      </c>
      <c r="B149" s="1">
        <v>1</v>
      </c>
      <c r="C149" s="1">
        <v>1</v>
      </c>
      <c r="D149" s="1">
        <v>725.3</v>
      </c>
      <c r="E149" s="1">
        <v>30</v>
      </c>
      <c r="F149" s="7" t="s">
        <v>17</v>
      </c>
    </row>
    <row r="150" spans="1:6" x14ac:dyDescent="0.25">
      <c r="A150" s="1">
        <v>96</v>
      </c>
      <c r="B150" s="1">
        <v>1</v>
      </c>
      <c r="C150" s="1">
        <v>1</v>
      </c>
      <c r="D150" s="1">
        <v>985.2</v>
      </c>
      <c r="E150" s="1">
        <v>10</v>
      </c>
      <c r="F150" s="7" t="s">
        <v>8</v>
      </c>
    </row>
    <row r="151" spans="1:6" x14ac:dyDescent="0.25">
      <c r="A151" s="1">
        <v>26</v>
      </c>
      <c r="B151" s="1">
        <v>1</v>
      </c>
      <c r="C151" s="1">
        <v>0</v>
      </c>
      <c r="D151" s="1">
        <v>904.4</v>
      </c>
      <c r="E151" s="1">
        <v>10</v>
      </c>
      <c r="F151" s="7" t="s">
        <v>17</v>
      </c>
    </row>
    <row r="152" spans="1:6" x14ac:dyDescent="0.25">
      <c r="A152" s="1">
        <v>215</v>
      </c>
      <c r="B152" s="1">
        <v>1</v>
      </c>
      <c r="C152" s="1">
        <v>0</v>
      </c>
      <c r="D152" s="1">
        <v>2092.8000000000002</v>
      </c>
      <c r="E152" s="1">
        <v>15</v>
      </c>
      <c r="F152" s="7" t="s">
        <v>8</v>
      </c>
    </row>
    <row r="153" spans="1:6" x14ac:dyDescent="0.25">
      <c r="A153" s="1">
        <v>1099</v>
      </c>
      <c r="B153" s="1">
        <v>0</v>
      </c>
      <c r="C153" s="1">
        <v>1</v>
      </c>
      <c r="D153" s="1">
        <v>267</v>
      </c>
      <c r="E153" s="1">
        <v>15</v>
      </c>
      <c r="F153" s="7" t="s">
        <v>17</v>
      </c>
    </row>
    <row r="154" spans="1:6" x14ac:dyDescent="0.25">
      <c r="A154" s="1">
        <v>442</v>
      </c>
      <c r="B154" s="1">
        <v>0</v>
      </c>
      <c r="C154" s="1">
        <v>1</v>
      </c>
      <c r="D154" s="1">
        <v>1020</v>
      </c>
      <c r="E154" s="1">
        <v>55</v>
      </c>
      <c r="F154" s="7" t="s">
        <v>8</v>
      </c>
    </row>
    <row r="155" spans="1:6" x14ac:dyDescent="0.25">
      <c r="A155" s="1">
        <v>788</v>
      </c>
      <c r="B155" s="1">
        <v>0</v>
      </c>
      <c r="C155" s="1">
        <v>1</v>
      </c>
      <c r="D155" s="1">
        <v>615.29999999999995</v>
      </c>
      <c r="E155" s="1">
        <v>10</v>
      </c>
      <c r="F155" s="7" t="s">
        <v>17</v>
      </c>
    </row>
    <row r="156" spans="1:6" x14ac:dyDescent="0.25">
      <c r="A156" s="1">
        <v>255</v>
      </c>
      <c r="B156" s="1">
        <v>1</v>
      </c>
      <c r="C156" s="1">
        <v>1</v>
      </c>
      <c r="D156" s="1">
        <v>772</v>
      </c>
      <c r="E156" s="1">
        <v>15</v>
      </c>
      <c r="F156" s="7" t="s">
        <v>8</v>
      </c>
    </row>
    <row r="157" spans="1:6" x14ac:dyDescent="0.25">
      <c r="A157" s="1">
        <v>462</v>
      </c>
      <c r="B157" s="1">
        <v>0</v>
      </c>
      <c r="C157" s="1">
        <v>0</v>
      </c>
      <c r="D157" s="1">
        <v>157.5</v>
      </c>
      <c r="E157" s="1">
        <v>25</v>
      </c>
      <c r="F157" s="7" t="s">
        <v>17</v>
      </c>
    </row>
    <row r="158" spans="1:6" x14ac:dyDescent="0.25">
      <c r="A158" s="1">
        <v>917</v>
      </c>
      <c r="B158" s="1">
        <v>0</v>
      </c>
      <c r="C158" s="1">
        <v>0</v>
      </c>
      <c r="D158" s="1">
        <v>409</v>
      </c>
      <c r="E158" s="1">
        <v>20</v>
      </c>
      <c r="F158" s="7" t="s">
        <v>8</v>
      </c>
    </row>
    <row r="159" spans="1:6" x14ac:dyDescent="0.25">
      <c r="A159" s="1">
        <v>340</v>
      </c>
      <c r="B159" s="1">
        <v>0</v>
      </c>
      <c r="C159" s="1">
        <v>1</v>
      </c>
      <c r="D159" s="1">
        <v>99.1</v>
      </c>
      <c r="E159" s="1">
        <v>40</v>
      </c>
      <c r="F159" s="7" t="s">
        <v>17</v>
      </c>
    </row>
    <row r="160" spans="1:6" x14ac:dyDescent="0.25">
      <c r="A160" s="1">
        <v>217</v>
      </c>
      <c r="B160" s="1">
        <v>0</v>
      </c>
      <c r="C160" s="1">
        <v>1</v>
      </c>
      <c r="D160" s="1">
        <v>126.5</v>
      </c>
      <c r="E160" s="1">
        <v>35</v>
      </c>
      <c r="F160" s="7" t="s">
        <v>8</v>
      </c>
    </row>
    <row r="161" spans="1:6" x14ac:dyDescent="0.25">
      <c r="A161" s="1">
        <v>543</v>
      </c>
      <c r="B161" s="1">
        <v>0</v>
      </c>
      <c r="C161" s="1">
        <v>0</v>
      </c>
      <c r="D161" s="1">
        <v>4.9000000000000004</v>
      </c>
      <c r="E161" s="1">
        <v>25</v>
      </c>
      <c r="F161" s="7" t="s">
        <v>17</v>
      </c>
    </row>
    <row r="162" spans="1:6" x14ac:dyDescent="0.25">
      <c r="A162" s="1">
        <v>795</v>
      </c>
      <c r="B162" s="1">
        <v>0</v>
      </c>
      <c r="C162" s="1">
        <v>1</v>
      </c>
      <c r="D162" s="1">
        <v>177.2</v>
      </c>
      <c r="E162" s="1">
        <v>10</v>
      </c>
      <c r="F162" s="7" t="s">
        <v>8</v>
      </c>
    </row>
    <row r="163" spans="1:6" x14ac:dyDescent="0.25">
      <c r="A163" s="1">
        <v>178</v>
      </c>
      <c r="B163" s="1">
        <v>1</v>
      </c>
      <c r="C163" s="1">
        <v>0</v>
      </c>
      <c r="D163" s="1">
        <v>4719</v>
      </c>
      <c r="E163" s="1">
        <v>15</v>
      </c>
      <c r="F163" s="7" t="s">
        <v>17</v>
      </c>
    </row>
    <row r="164" spans="1:6" x14ac:dyDescent="0.25">
      <c r="A164" s="1">
        <v>1045</v>
      </c>
      <c r="B164" s="1">
        <v>1</v>
      </c>
      <c r="C164" s="1">
        <v>1</v>
      </c>
      <c r="D164" s="1">
        <v>800</v>
      </c>
      <c r="E164" s="1">
        <v>15</v>
      </c>
      <c r="F164" s="7" t="s">
        <v>8</v>
      </c>
    </row>
    <row r="165" spans="1:6" x14ac:dyDescent="0.25">
      <c r="A165" s="1">
        <v>634</v>
      </c>
      <c r="B165" s="1">
        <v>0</v>
      </c>
      <c r="C165" s="1">
        <v>0</v>
      </c>
      <c r="D165" s="1">
        <v>36.9</v>
      </c>
      <c r="E165" s="1">
        <v>20</v>
      </c>
      <c r="F165" s="7" t="s">
        <v>17</v>
      </c>
    </row>
    <row r="166" spans="1:6" x14ac:dyDescent="0.25">
      <c r="A166" s="1">
        <v>305</v>
      </c>
      <c r="B166" s="1">
        <v>0</v>
      </c>
      <c r="C166" s="1">
        <v>0</v>
      </c>
      <c r="D166" s="1">
        <v>412.3</v>
      </c>
      <c r="E166" s="1">
        <v>20</v>
      </c>
      <c r="F166" s="7" t="s">
        <v>8</v>
      </c>
    </row>
    <row r="167" spans="1:6" x14ac:dyDescent="0.25">
      <c r="A167" s="1">
        <v>795</v>
      </c>
      <c r="B167" s="1">
        <v>0</v>
      </c>
      <c r="C167" s="1">
        <v>0</v>
      </c>
      <c r="D167" s="1">
        <v>914.4</v>
      </c>
      <c r="E167" s="1">
        <v>20</v>
      </c>
      <c r="F167" s="7" t="s">
        <v>17</v>
      </c>
    </row>
    <row r="168" spans="1:6" x14ac:dyDescent="0.25">
      <c r="A168" s="1">
        <v>956</v>
      </c>
      <c r="B168" s="1">
        <v>0</v>
      </c>
      <c r="C168" s="1">
        <v>0</v>
      </c>
      <c r="D168" s="1">
        <v>179</v>
      </c>
      <c r="E168" s="1">
        <v>31</v>
      </c>
      <c r="F168" s="7" t="s">
        <v>8</v>
      </c>
    </row>
    <row r="169" spans="1:6" x14ac:dyDescent="0.25">
      <c r="A169" s="1">
        <v>763</v>
      </c>
      <c r="B169" s="1">
        <v>0</v>
      </c>
      <c r="C169" s="1">
        <v>1</v>
      </c>
      <c r="D169" s="1">
        <v>48.5</v>
      </c>
      <c r="E169" s="1">
        <v>25</v>
      </c>
      <c r="F169" s="7" t="s">
        <v>17</v>
      </c>
    </row>
    <row r="170" spans="1:6" x14ac:dyDescent="0.25">
      <c r="A170" s="1">
        <v>511</v>
      </c>
      <c r="B170" s="1">
        <v>0</v>
      </c>
      <c r="C170" s="1">
        <v>1</v>
      </c>
      <c r="D170" s="1">
        <v>180.7</v>
      </c>
      <c r="E170" s="1">
        <v>30</v>
      </c>
      <c r="F170" s="7" t="s">
        <v>8</v>
      </c>
    </row>
    <row r="171" spans="1:6" x14ac:dyDescent="0.25">
      <c r="A171" s="1">
        <v>515</v>
      </c>
      <c r="B171" s="1">
        <v>0</v>
      </c>
      <c r="C171" s="1">
        <v>1</v>
      </c>
      <c r="D171" s="1">
        <v>126.5</v>
      </c>
      <c r="E171" s="1">
        <v>25</v>
      </c>
      <c r="F171" s="7" t="s">
        <v>17</v>
      </c>
    </row>
    <row r="172" spans="1:6" x14ac:dyDescent="0.25">
      <c r="A172" s="1">
        <v>50</v>
      </c>
      <c r="B172" s="1">
        <v>1</v>
      </c>
      <c r="C172" s="1">
        <v>0</v>
      </c>
      <c r="D172" s="1">
        <v>668</v>
      </c>
      <c r="E172" s="1">
        <v>10</v>
      </c>
      <c r="F172" s="7" t="s">
        <v>8</v>
      </c>
    </row>
    <row r="173" spans="1:6" x14ac:dyDescent="0.25">
      <c r="A173" s="1">
        <v>924</v>
      </c>
      <c r="B173" s="1">
        <v>0</v>
      </c>
      <c r="C173" s="1">
        <v>0</v>
      </c>
      <c r="D173" s="1">
        <v>32.4</v>
      </c>
      <c r="E173" s="1">
        <v>15</v>
      </c>
      <c r="F173" s="7" t="s">
        <v>17</v>
      </c>
    </row>
    <row r="174" spans="1:6" x14ac:dyDescent="0.25">
      <c r="A174" s="1">
        <v>581</v>
      </c>
      <c r="B174" s="1">
        <v>0</v>
      </c>
      <c r="C174" s="1">
        <v>1</v>
      </c>
      <c r="D174" s="1">
        <v>3</v>
      </c>
      <c r="E174" s="1">
        <v>60</v>
      </c>
      <c r="F174" s="7" t="s">
        <v>8</v>
      </c>
    </row>
    <row r="175" spans="1:6" x14ac:dyDescent="0.25">
      <c r="A175" s="1">
        <v>876</v>
      </c>
      <c r="B175" s="1">
        <v>0</v>
      </c>
      <c r="C175" s="1">
        <v>1</v>
      </c>
      <c r="D175" s="1">
        <v>155.69999999999999</v>
      </c>
      <c r="E175" s="1">
        <v>20</v>
      </c>
      <c r="F175" s="7" t="s">
        <v>17</v>
      </c>
    </row>
    <row r="176" spans="1:6" x14ac:dyDescent="0.25">
      <c r="A176" s="1">
        <v>476</v>
      </c>
      <c r="B176" s="1">
        <v>0</v>
      </c>
      <c r="C176" s="1">
        <v>0</v>
      </c>
      <c r="D176" s="1">
        <v>1108.5999999999999</v>
      </c>
      <c r="E176" s="1">
        <v>15</v>
      </c>
      <c r="F176" s="7" t="s">
        <v>8</v>
      </c>
    </row>
    <row r="177" spans="1:6" x14ac:dyDescent="0.25">
      <c r="A177" s="1">
        <v>591</v>
      </c>
      <c r="B177" s="1">
        <v>1</v>
      </c>
      <c r="C177" s="1">
        <v>0</v>
      </c>
      <c r="D177" s="1">
        <v>533.5</v>
      </c>
      <c r="E177" s="1">
        <v>17</v>
      </c>
      <c r="F177" s="7" t="s">
        <v>17</v>
      </c>
    </row>
    <row r="178" spans="1:6" x14ac:dyDescent="0.25">
      <c r="A178" s="1">
        <v>131</v>
      </c>
      <c r="B178" s="1">
        <v>1</v>
      </c>
      <c r="C178" s="1">
        <v>0</v>
      </c>
      <c r="D178" s="1">
        <v>581.4</v>
      </c>
      <c r="E178" s="1">
        <v>30</v>
      </c>
      <c r="F178" s="7" t="s">
        <v>8</v>
      </c>
    </row>
    <row r="179" spans="1:6" x14ac:dyDescent="0.25">
      <c r="A179" s="1">
        <v>1054</v>
      </c>
      <c r="B179" s="1">
        <v>0</v>
      </c>
      <c r="C179" s="1">
        <v>1</v>
      </c>
      <c r="D179" s="1">
        <v>128</v>
      </c>
      <c r="E179" s="1">
        <v>30</v>
      </c>
      <c r="F179" s="7" t="s">
        <v>17</v>
      </c>
    </row>
    <row r="180" spans="1:6" x14ac:dyDescent="0.25">
      <c r="A180" s="1">
        <v>931</v>
      </c>
      <c r="B180" s="1">
        <v>0</v>
      </c>
      <c r="C180" s="1">
        <v>1</v>
      </c>
      <c r="D180" s="1">
        <v>1561.4</v>
      </c>
      <c r="E180" s="1">
        <v>20</v>
      </c>
      <c r="F180" s="7" t="s">
        <v>8</v>
      </c>
    </row>
    <row r="181" spans="1:6" x14ac:dyDescent="0.25">
      <c r="A181" s="1">
        <v>480</v>
      </c>
      <c r="B181" s="1">
        <v>0</v>
      </c>
      <c r="C181" s="1">
        <v>0</v>
      </c>
      <c r="D181" s="1">
        <v>332</v>
      </c>
      <c r="E181" s="1">
        <v>35</v>
      </c>
      <c r="F181" s="7" t="s">
        <v>17</v>
      </c>
    </row>
    <row r="182" spans="1:6" x14ac:dyDescent="0.25">
      <c r="A182" s="1">
        <v>532</v>
      </c>
      <c r="B182" s="1">
        <v>0</v>
      </c>
      <c r="C182" s="1">
        <v>0</v>
      </c>
      <c r="D182" s="1">
        <v>396.8</v>
      </c>
      <c r="E182" s="1">
        <v>10</v>
      </c>
      <c r="F182" s="7" t="s">
        <v>8</v>
      </c>
    </row>
    <row r="183" spans="1:6" x14ac:dyDescent="0.25">
      <c r="A183" s="1">
        <v>875</v>
      </c>
      <c r="B183" s="1">
        <v>0</v>
      </c>
      <c r="C183" s="1">
        <v>1</v>
      </c>
      <c r="D183" s="1">
        <v>5.4</v>
      </c>
      <c r="E183" s="1">
        <v>43</v>
      </c>
      <c r="F183" s="7" t="s">
        <v>17</v>
      </c>
    </row>
    <row r="184" spans="1:6" x14ac:dyDescent="0.25">
      <c r="A184" s="1">
        <v>1092</v>
      </c>
      <c r="B184" s="1">
        <v>0</v>
      </c>
      <c r="C184" s="1">
        <v>1</v>
      </c>
      <c r="D184" s="1">
        <v>17</v>
      </c>
      <c r="E184" s="1">
        <v>20</v>
      </c>
      <c r="F184" s="7" t="s">
        <v>8</v>
      </c>
    </row>
    <row r="185" spans="1:6" x14ac:dyDescent="0.25">
      <c r="A185" s="1">
        <v>219</v>
      </c>
      <c r="B185" s="1">
        <v>1</v>
      </c>
      <c r="C185" s="1">
        <v>0</v>
      </c>
      <c r="D185" s="1">
        <v>180.8</v>
      </c>
      <c r="E185" s="1">
        <v>15</v>
      </c>
      <c r="F185" s="7" t="s">
        <v>17</v>
      </c>
    </row>
    <row r="186" spans="1:6" x14ac:dyDescent="0.25">
      <c r="A186" s="1">
        <v>1097</v>
      </c>
      <c r="B186" s="1">
        <v>0</v>
      </c>
      <c r="C186" s="1">
        <v>1</v>
      </c>
      <c r="D186" s="1">
        <v>2930</v>
      </c>
      <c r="E186" s="1">
        <v>25</v>
      </c>
      <c r="F186" s="7" t="s">
        <v>8</v>
      </c>
    </row>
    <row r="187" spans="1:6" x14ac:dyDescent="0.25">
      <c r="A187" s="1">
        <v>251</v>
      </c>
      <c r="B187" s="1">
        <v>0</v>
      </c>
      <c r="C187" s="1">
        <v>1</v>
      </c>
      <c r="D187" s="1">
        <v>1421.6</v>
      </c>
      <c r="E187" s="1">
        <v>45</v>
      </c>
      <c r="F187" s="7" t="s">
        <v>17</v>
      </c>
    </row>
    <row r="188" spans="1:6" x14ac:dyDescent="0.25">
      <c r="A188" s="1">
        <v>592</v>
      </c>
      <c r="B188" s="1">
        <v>0</v>
      </c>
      <c r="C188" s="1">
        <v>0</v>
      </c>
      <c r="D188" s="1">
        <v>25.3</v>
      </c>
      <c r="E188" s="1">
        <v>25</v>
      </c>
      <c r="F188" s="7" t="s">
        <v>8</v>
      </c>
    </row>
    <row r="189" spans="1:6" x14ac:dyDescent="0.25">
      <c r="A189" s="1">
        <v>1157</v>
      </c>
      <c r="B189" s="1">
        <v>0</v>
      </c>
      <c r="C189" s="1">
        <v>1</v>
      </c>
      <c r="D189" s="1">
        <v>67</v>
      </c>
      <c r="E189" s="1">
        <v>20</v>
      </c>
      <c r="F189" s="7" t="s">
        <v>17</v>
      </c>
    </row>
    <row r="190" spans="1:6" x14ac:dyDescent="0.25">
      <c r="A190" s="1">
        <v>252</v>
      </c>
      <c r="B190" s="1">
        <v>0</v>
      </c>
      <c r="C190" s="1">
        <v>0</v>
      </c>
      <c r="D190" s="1">
        <v>41.6</v>
      </c>
      <c r="E190" s="1">
        <v>30</v>
      </c>
      <c r="F190" s="7" t="s">
        <v>8</v>
      </c>
    </row>
    <row r="191" spans="1:6" x14ac:dyDescent="0.25">
      <c r="A191" s="1">
        <v>280</v>
      </c>
      <c r="B191" s="1">
        <v>0</v>
      </c>
      <c r="C191" s="1">
        <v>1</v>
      </c>
      <c r="D191" s="1">
        <v>211.8</v>
      </c>
      <c r="E191" s="1">
        <v>25</v>
      </c>
      <c r="F191" s="7" t="s">
        <v>17</v>
      </c>
    </row>
    <row r="192" spans="1:6" x14ac:dyDescent="0.25">
      <c r="A192" s="1">
        <v>333</v>
      </c>
      <c r="B192" s="1">
        <v>0</v>
      </c>
      <c r="C192" s="1">
        <v>0</v>
      </c>
      <c r="D192" s="1">
        <v>730.4</v>
      </c>
      <c r="E192" s="1">
        <v>15</v>
      </c>
      <c r="F192" s="7" t="s">
        <v>8</v>
      </c>
    </row>
    <row r="193" spans="1:6" x14ac:dyDescent="0.25">
      <c r="A193" s="1">
        <v>466</v>
      </c>
      <c r="B193" s="1">
        <v>0</v>
      </c>
      <c r="C193" s="1">
        <v>1</v>
      </c>
      <c r="D193" s="1">
        <v>435.4</v>
      </c>
      <c r="E193" s="1">
        <v>25</v>
      </c>
      <c r="F193" s="7" t="s">
        <v>17</v>
      </c>
    </row>
    <row r="194" spans="1:6" x14ac:dyDescent="0.25">
      <c r="A194" s="1">
        <v>882</v>
      </c>
      <c r="B194" s="1">
        <v>0</v>
      </c>
      <c r="C194" s="1">
        <v>0</v>
      </c>
      <c r="D194" s="1">
        <v>173</v>
      </c>
      <c r="E194" s="1">
        <v>35</v>
      </c>
      <c r="F194" s="7" t="s">
        <v>8</v>
      </c>
    </row>
    <row r="195" spans="1:6" x14ac:dyDescent="0.25">
      <c r="A195" s="1">
        <v>106</v>
      </c>
      <c r="B195" s="1">
        <v>1</v>
      </c>
      <c r="C195" s="1">
        <v>0</v>
      </c>
      <c r="D195" s="1">
        <v>240.4</v>
      </c>
      <c r="E195" s="1">
        <v>12</v>
      </c>
      <c r="F195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NEJM</vt:lpstr>
      <vt:lpstr>Met</vt:lpstr>
      <vt:lpstr>Delta</vt:lpstr>
      <vt:lpstr>HepC survival data</vt:lpstr>
      <vt:lpstr>Cox modeling</vt:lpstr>
      <vt:lpstr>Delta!deltadat</vt:lpstr>
      <vt:lpstr>'Cox modeling'!PHregDat</vt:lpstr>
    </vt:vector>
  </TitlesOfParts>
  <Company>Columbia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Columbia University</dc:creator>
  <cp:lastModifiedBy>Sekhar Ramakrishnan</cp:lastModifiedBy>
  <dcterms:created xsi:type="dcterms:W3CDTF">2013-01-18T06:15:31Z</dcterms:created>
  <dcterms:modified xsi:type="dcterms:W3CDTF">2026-02-25T02:13:42Z</dcterms:modified>
</cp:coreProperties>
</file>